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3600" windowHeight="5140" tabRatio="882"/>
  </bookViews>
  <sheets>
    <sheet name="Front Page" sheetId="424" r:id="rId1"/>
    <sheet name="INDEX" sheetId="3" r:id="rId2"/>
    <sheet name="CALC" sheetId="1" r:id="rId3"/>
    <sheet name="RESULT" sheetId="2" r:id="rId4"/>
    <sheet name="TC322" sheetId="425" state="hidden" r:id="rId5"/>
    <sheet name="TC323" sheetId="426" state="hidden" r:id="rId6"/>
    <sheet name="TC324" sheetId="427" state="hidden" r:id="rId7"/>
    <sheet name="TC327" sheetId="428" state="hidden" r:id="rId8"/>
    <sheet name="TC332" sheetId="429" state="hidden" r:id="rId9"/>
    <sheet name="TC333" sheetId="430" state="hidden" r:id="rId10"/>
    <sheet name="TC334" sheetId="431" state="hidden" r:id="rId11"/>
    <sheet name="TC336" sheetId="432" state="hidden" r:id="rId12"/>
    <sheet name="TC337" sheetId="433" state="hidden" r:id="rId13"/>
    <sheet name="TC336_ED_ADAS" sheetId="434" state="hidden" r:id="rId14"/>
    <sheet name="TC337_ED_ADAS" sheetId="435" state="hidden" r:id="rId15"/>
    <sheet name="TC356_ADAS" sheetId="436" state="hidden" r:id="rId16"/>
    <sheet name="TC357_ADAS" sheetId="437" state="hidden" r:id="rId17"/>
    <sheet name="TC364_LQFP" sheetId="438" state="hidden" r:id="rId18"/>
    <sheet name="TC364_TQFP" sheetId="439" state="hidden" r:id="rId19"/>
    <sheet name="TC365" sheetId="440" state="hidden" r:id="rId20"/>
    <sheet name="TC366" sheetId="441" state="hidden" r:id="rId21"/>
    <sheet name="TC367" sheetId="442" state="hidden" r:id="rId22"/>
    <sheet name="TC375" sheetId="443" state="hidden" r:id="rId23"/>
    <sheet name="TC377" sheetId="444" state="hidden" r:id="rId24"/>
    <sheet name="TC374_ED" sheetId="445" state="hidden" r:id="rId25"/>
    <sheet name="TC375_ED" sheetId="446" state="hidden" r:id="rId26"/>
    <sheet name="TC377_ED" sheetId="447" state="hidden" r:id="rId27"/>
    <sheet name="TC377_ED_EX" sheetId="448" state="hidden" r:id="rId28"/>
    <sheet name="TC387" sheetId="449" state="hidden" r:id="rId29"/>
    <sheet name="TC389" sheetId="450" state="hidden" r:id="rId30"/>
    <sheet name="TC397" sheetId="451" state="hidden" r:id="rId31"/>
    <sheet name="TC397_ADAS" sheetId="452" state="hidden" r:id="rId32"/>
    <sheet name="TC399" sheetId="453" state="hidden" r:id="rId33"/>
    <sheet name="TC3E7" sheetId="454" state="hidden" r:id="rId34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Author</author>
  </authors>
  <commentList>
    <comment ref="H6" authorId="0" shapeId="0">
      <text>
        <r>
          <rPr>
            <b/>
            <sz val="9"/>
            <color indexed="81"/>
            <rFont val="Tahoma"/>
            <family val="2"/>
          </rPr>
          <t xml:space="preserve">User should configure the resulting target frequency after configuring the N, P and K2 divider
for system PLL.
By using the default value generation option this frequency can be auto-calculated
with the configured values of McuMainOscillatorFrequency, McuSystemPllPDivider,
McuSystemPllNDivider, and McuSystemPllK2Divider dividers. Unit is expressed in Hz.
The McuClockReferencePointFrequency0 for NORMAL_MODE should be in the
range from: 20 to 300 MHz. If McuClockDistributionInpClockSel is selected as
BACKUP_INPUT_CLOCK_SRC_SELECT then manually configure this clock to Fback = 100
MHz.
fSOURCE0 is McuClockReferencePointFrequency0.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 xml:space="preserve">Users have to configure the resulting target frequency after configuring the N, P and K2
dividers for the peripheral PLL.
The configured value should be divided by 2 if McuFreqSource1ClockDivSelect is configured
with DIV_FACTOR_2_NOT_BYPASSED_SEl1.
A calculation button is provided for updating this values (in Hz).
The McuClockReferencePointFrequency1 for NORMAL_MODE should be in the
range: 20 to 320 MHz. If McuClockDistributionInpClockSel is selected as
BACKUP_INPUT_CLOCK_SRC_SELECT, then manually configure this clock to Fback = 100
MHz.
fSOURCE1 is McuClockReferencePointFrequency1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</rPr>
          <t xml:space="preserve">Users have to configure the resulting target frequency after configuring the N, P and K3
dividers for the peripheral PLL.
A configuration button is provided for updating this value (in Hz).
The McuClockReferencePointFrequency2 for NORMAL_MODE should be in the
range: 20 to 200 MHz. If McuClockDistributionInpClockSel is selected as
BACKUP_INPUT_CLOCK_SRC_SELECT, then manually configure this clock to Fback = 100
MHz.
fSOURCE2 is McuClockReferencePointFrequency2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<sst xmlns="http://schemas.openxmlformats.org/spreadsheetml/2006/main" count="1698" uniqueCount="227">
  <si>
    <t>Fsri</t>
  </si>
  <si>
    <t>Fcpu0</t>
  </si>
  <si>
    <t>Fcpu1</t>
  </si>
  <si>
    <t>Fcpu2</t>
  </si>
  <si>
    <t>Fcpu3</t>
  </si>
  <si>
    <t>Fcpu4</t>
  </si>
  <si>
    <t>Fcpu5</t>
  </si>
  <si>
    <t>Fspb</t>
  </si>
  <si>
    <t>Ffsi</t>
  </si>
  <si>
    <t>Ffsi2</t>
  </si>
  <si>
    <t>Fbbb</t>
  </si>
  <si>
    <t>Feray</t>
  </si>
  <si>
    <t>Fgtm</t>
  </si>
  <si>
    <t>Fstm</t>
  </si>
  <si>
    <t>Fmsc</t>
  </si>
  <si>
    <t>Fmcan</t>
  </si>
  <si>
    <t>Fasclinfast</t>
  </si>
  <si>
    <t>Fasclinslow</t>
  </si>
  <si>
    <t>Fqspi</t>
  </si>
  <si>
    <t>Fadc</t>
  </si>
  <si>
    <t>Fi2c</t>
  </si>
  <si>
    <t>Febu</t>
  </si>
  <si>
    <t>Fhsct</t>
  </si>
  <si>
    <t>Fadas</t>
  </si>
  <si>
    <t>Fgeth</t>
  </si>
  <si>
    <t>Fcanh</t>
  </si>
  <si>
    <t>System PLL</t>
  </si>
  <si>
    <t>Select(Y/N)</t>
  </si>
  <si>
    <t>SET6</t>
  </si>
  <si>
    <t>SET9</t>
  </si>
  <si>
    <t>SET8</t>
  </si>
  <si>
    <t>SET7</t>
  </si>
  <si>
    <t>SET5</t>
  </si>
  <si>
    <t>SET4</t>
  </si>
  <si>
    <t>SET3</t>
  </si>
  <si>
    <t>SET2</t>
  </si>
  <si>
    <t>SET1</t>
  </si>
  <si>
    <t>CLOCK ENABLE</t>
  </si>
  <si>
    <t>N</t>
  </si>
  <si>
    <t>CLOCK</t>
  </si>
  <si>
    <t>P Divider (0 -&gt; 7)</t>
  </si>
  <si>
    <t xml:space="preserve">N Divider (0 -&gt; 127)  </t>
  </si>
  <si>
    <t>K2 Divider (0 -&gt; 7)</t>
  </si>
  <si>
    <t xml:space="preserve">P Divider (0 -&gt; 7) </t>
  </si>
  <si>
    <t>N Divider (0 -&gt; 127)</t>
  </si>
  <si>
    <t>K3 Divider (0 -&gt; 7)</t>
  </si>
  <si>
    <t>Peripheral PLL</t>
  </si>
  <si>
    <t>SET10</t>
  </si>
  <si>
    <t>Clock</t>
  </si>
  <si>
    <t xml:space="preserve">McuPll2DivSelect  </t>
  </si>
  <si>
    <t>McuFreqSource1ClockDivSelect</t>
  </si>
  <si>
    <t>ERAY</t>
  </si>
  <si>
    <t>EBU</t>
  </si>
  <si>
    <t>HSPDM</t>
  </si>
  <si>
    <t>CLOCK SOURCE SELECTION</t>
  </si>
  <si>
    <t>Msc</t>
  </si>
  <si>
    <t>Mcan</t>
  </si>
  <si>
    <t>AscLinSlow</t>
  </si>
  <si>
    <t>Qspi</t>
  </si>
  <si>
    <t>PLL Input Clock Selection</t>
  </si>
  <si>
    <t>McuPllInputSrcSelection</t>
  </si>
  <si>
    <t>McuSystemPllSettingConfig</t>
  </si>
  <si>
    <t xml:space="preserve">McuPeripheralPllK2Divider </t>
  </si>
  <si>
    <t xml:space="preserve">McuPerPllK2DivStepUpChangeDelay </t>
  </si>
  <si>
    <t xml:space="preserve">McuPerPllK2DivStepDownChangeDelay </t>
  </si>
  <si>
    <t xml:space="preserve">McuPeripheralPllK3Divider </t>
  </si>
  <si>
    <t xml:space="preserve">McuPerPllK3DivStepUpChangeDelay </t>
  </si>
  <si>
    <t xml:space="preserve">McuPerPllK3DivStepDownChangeDelay </t>
  </si>
  <si>
    <t>McuPll2DivSelect</t>
  </si>
  <si>
    <t xml:space="preserve">McuClockReferencePointFrequency1 </t>
  </si>
  <si>
    <t xml:space="preserve">McuClockReferencePointFrequency2 </t>
  </si>
  <si>
    <t>McuPllDistributionSettingConfig</t>
  </si>
  <si>
    <t>McuClockDistributionInpClockSel</t>
  </si>
  <si>
    <t xml:space="preserve">McuLowPowerDivValue </t>
  </si>
  <si>
    <t xml:space="preserve">McuSRIFrequency </t>
  </si>
  <si>
    <t xml:space="preserve">McuCPU0Frequency </t>
  </si>
  <si>
    <t xml:space="preserve">McuCPU1Frequency </t>
  </si>
  <si>
    <t xml:space="preserve">McuCPU2Frequency </t>
  </si>
  <si>
    <t xml:space="preserve">McuCPU3Frequency </t>
  </si>
  <si>
    <t xml:space="preserve">McuCPU4Frequency </t>
  </si>
  <si>
    <t xml:space="preserve">McuCPU5Frequency </t>
  </si>
  <si>
    <t xml:space="preserve">McuSPBFrequency </t>
  </si>
  <si>
    <t xml:space="preserve">McuFSIFrequency </t>
  </si>
  <si>
    <t xml:space="preserve">McuFSI2Frequency </t>
  </si>
  <si>
    <t xml:space="preserve">McuReferenceFrequency1 </t>
  </si>
  <si>
    <t xml:space="preserve">McuReferenceFrequency2 </t>
  </si>
  <si>
    <t xml:space="preserve">McuErayClkEnable  </t>
  </si>
  <si>
    <t xml:space="preserve">McuErayFrequency </t>
  </si>
  <si>
    <t xml:space="preserve">McuGTMFrequency </t>
  </si>
  <si>
    <t xml:space="preserve">McuSTMFrequency </t>
  </si>
  <si>
    <t xml:space="preserve">McuMscFrequency </t>
  </si>
  <si>
    <t xml:space="preserve">McuMCanClockSourceSelection  </t>
  </si>
  <si>
    <t xml:space="preserve">McuMCanFrequency </t>
  </si>
  <si>
    <t xml:space="preserve">McuAscLinFastFrequency </t>
  </si>
  <si>
    <t xml:space="preserve">McuAscLinSlowClockSourceSelection  </t>
  </si>
  <si>
    <t xml:space="preserve">McuAscLinSlowFrequency </t>
  </si>
  <si>
    <t xml:space="preserve">McuQspiFrequency </t>
  </si>
  <si>
    <t xml:space="preserve">McuAdcFrequency </t>
  </si>
  <si>
    <t xml:space="preserve">McuI2CFrequency </t>
  </si>
  <si>
    <t xml:space="preserve">McuEbuClkEnable  </t>
  </si>
  <si>
    <t xml:space="preserve">McuEbuFrequency </t>
  </si>
  <si>
    <t xml:space="preserve">McuHsctFrequency </t>
  </si>
  <si>
    <t xml:space="preserve">McuHspdmClkEnable  </t>
  </si>
  <si>
    <t xml:space="preserve">McuHspdm160Frequency </t>
  </si>
  <si>
    <t xml:space="preserve">McuHspdm320Frequency </t>
  </si>
  <si>
    <t xml:space="preserve">McuAdasFrequency </t>
  </si>
  <si>
    <t xml:space="preserve">McuGEthFrequency </t>
  </si>
  <si>
    <t xml:space="preserve">McuMcanHFrequency </t>
  </si>
  <si>
    <t>McuQspiClockSourceSelection</t>
  </si>
  <si>
    <t>McuConvCtrlPhaseSynchConf</t>
  </si>
  <si>
    <t>McuMscClockSourceSelection</t>
  </si>
  <si>
    <t>Fhspdm160</t>
  </si>
  <si>
    <t>Fhspdm320</t>
  </si>
  <si>
    <t xml:space="preserve">McuSystemPllPDivider </t>
  </si>
  <si>
    <t xml:space="preserve">McuSystemPllNDivider </t>
  </si>
  <si>
    <t xml:space="preserve">McuSystemPllK2Divider </t>
  </si>
  <si>
    <t xml:space="preserve">McuSysPllK2DivStepUpChangeDelay </t>
  </si>
  <si>
    <t xml:space="preserve">McuSysPllK2DivStepDownChangeDelay  </t>
  </si>
  <si>
    <t xml:space="preserve">McuFmPllEnable  </t>
  </si>
  <si>
    <t xml:space="preserve">McuFMPllModAmp </t>
  </si>
  <si>
    <t xml:space="preserve">McuClockReferencePointFrequency0 </t>
  </si>
  <si>
    <t>McuPeripheralPllSettingConfig</t>
  </si>
  <si>
    <t xml:space="preserve">McuPeripheralPllPDivider </t>
  </si>
  <si>
    <t xml:space="preserve">McuPeripheralPllNDivider </t>
  </si>
  <si>
    <t>LOW_POWER_DIVIDER_DISABLE_SEL0</t>
  </si>
  <si>
    <t xml:space="preserve">McuBBBFrequency </t>
  </si>
  <si>
    <t>PHASE_SYNCH_CONST_ACTIVE_SEL0</t>
  </si>
  <si>
    <t>CLOCK FREQUENCY CALCULATOR FOR A2G</t>
  </si>
  <si>
    <t>STEP - 1:  Goto CALC page</t>
  </si>
  <si>
    <t>STEP - 3:  Please donot add/modify/delete any cells anywhere and at anytime.</t>
  </si>
  <si>
    <t>STEP - 4:  Please enter the desired values in the blue fields.</t>
  </si>
  <si>
    <t>STEP - 5:  Click on "CALCULATE" button to compute the clock parameters</t>
  </si>
  <si>
    <t>Click here to go to CALCULATOR page</t>
  </si>
  <si>
    <t>Dco base frequency</t>
  </si>
  <si>
    <t xml:space="preserve">Reference freq 1 </t>
  </si>
  <si>
    <t>Reference freq 2</t>
  </si>
  <si>
    <t xml:space="preserve">EQUATIONS FOR PERIPHERAL FREQUENCY </t>
  </si>
  <si>
    <t xml:space="preserve"> P = P DIVIDER + 1</t>
  </si>
  <si>
    <t xml:space="preserve"> N = N DIVIDER + 1</t>
  </si>
  <si>
    <t xml:space="preserve"> K2 = K2 DIVIDER + 1</t>
  </si>
  <si>
    <t xml:space="preserve"> K3 = K3 DIVIDER + 1</t>
  </si>
  <si>
    <t>Fosc By P Frequency</t>
  </si>
  <si>
    <t>STEP - 9:  Click on "BACK " button to go back to CALC page and select another set of frequency</t>
  </si>
  <si>
    <t>PllInputSrcSelection</t>
  </si>
  <si>
    <t>DISABLE</t>
  </si>
  <si>
    <t>Clock  Frequency</t>
  </si>
  <si>
    <t>CLOCK DISTRIBUTION INPUT CLOCK</t>
  </si>
  <si>
    <t>STEP - 2:  Click on "CLEAR " button.</t>
  </si>
  <si>
    <t>STEP - 7:  Click on generate button. The result sheet will open up.</t>
  </si>
  <si>
    <t>PLL_SEL1</t>
  </si>
  <si>
    <t xml:space="preserve">INSTRUCTIONS </t>
  </si>
  <si>
    <t>Device</t>
  </si>
  <si>
    <t>STM divider values</t>
  </si>
  <si>
    <t>SRI divider values</t>
  </si>
  <si>
    <t>SPB divider values</t>
  </si>
  <si>
    <t>GTM divider values</t>
  </si>
  <si>
    <t>BBB divider values</t>
  </si>
  <si>
    <t>Adas divider values</t>
  </si>
  <si>
    <t>GEth divider values</t>
  </si>
  <si>
    <t>McanH divider values</t>
  </si>
  <si>
    <t>MCan divider values</t>
  </si>
  <si>
    <t>Msc divider values</t>
  </si>
  <si>
    <t>Qspi divider values</t>
  </si>
  <si>
    <t>I2C divider values</t>
  </si>
  <si>
    <t>AscLinFast divider values</t>
  </si>
  <si>
    <t>AscLinSlow divider values</t>
  </si>
  <si>
    <t>SRISPBClockRatios</t>
  </si>
  <si>
    <t>SRIFSIClockRatios</t>
  </si>
  <si>
    <t>SRIFSI2ClockRatios</t>
  </si>
  <si>
    <t>FSI2FSIClockRatios</t>
  </si>
  <si>
    <t>GTMSPBClockRatios</t>
  </si>
  <si>
    <t>SPBGTMClockRatios</t>
  </si>
  <si>
    <t>SPBSTMClockRatios</t>
  </si>
  <si>
    <t>SRIBBBClockRatios</t>
  </si>
  <si>
    <t>STMSPBClockRatios</t>
  </si>
  <si>
    <t>AdasSriClockRatios</t>
  </si>
  <si>
    <t>AdasBBBClockRatios</t>
  </si>
  <si>
    <t>SPBMcanHClockRatios</t>
  </si>
  <si>
    <t>SRIGEthClockRatios</t>
  </si>
  <si>
    <t>STM_Range</t>
  </si>
  <si>
    <t>GEth_Range</t>
  </si>
  <si>
    <t>SRI_Range</t>
  </si>
  <si>
    <t>SPB_Range</t>
  </si>
  <si>
    <t>GTM_Range</t>
  </si>
  <si>
    <t>BBB_Range</t>
  </si>
  <si>
    <t>FSI_Range</t>
  </si>
  <si>
    <t>Adas_Range</t>
  </si>
  <si>
    <t>CANH_Range</t>
  </si>
  <si>
    <t>Mcan_Range</t>
  </si>
  <si>
    <t>Msc_Range</t>
  </si>
  <si>
    <t>QSPI_Range</t>
  </si>
  <si>
    <t>I2C_Range</t>
  </si>
  <si>
    <t>ASCLINFAST_Range</t>
  </si>
  <si>
    <t>ASCLINSLOW_Range</t>
  </si>
  <si>
    <t>EBU_Range</t>
  </si>
  <si>
    <t>ADC_Range</t>
  </si>
  <si>
    <t>CPU0_Range</t>
  </si>
  <si>
    <t>CPU1_Range</t>
  </si>
  <si>
    <t>CPU2_Range</t>
  </si>
  <si>
    <t>CPU3_Range</t>
  </si>
  <si>
    <t>CPU4_Range</t>
  </si>
  <si>
    <t>CPU5_Range</t>
  </si>
  <si>
    <t>OSC_CLOCK</t>
  </si>
  <si>
    <t>DISABLE_SEL0</t>
  </si>
  <si>
    <t>NOT_BYPASSED_SEL0</t>
  </si>
  <si>
    <t>TC399</t>
  </si>
  <si>
    <t>STEP - 8:  Copy paste the contents  from the excel to the corresponding TRESOS  configuration parameteres.</t>
  </si>
  <si>
    <t xml:space="preserve">                  Please do not mark the sets which have "INVALID"</t>
  </si>
  <si>
    <t xml:space="preserve">STEP - 6:  Mark only one set which has "N" to "Y" to select the configuration set.  </t>
  </si>
  <si>
    <t>Ayush Srivastava</t>
  </si>
  <si>
    <t>Change History</t>
  </si>
  <si>
    <t>Version</t>
  </si>
  <si>
    <t>Date</t>
  </si>
  <si>
    <t>Changed by</t>
  </si>
  <si>
    <t>Change Description</t>
  </si>
  <si>
    <t>v0.1</t>
  </si>
  <si>
    <t>Initial version for review</t>
  </si>
  <si>
    <t>TC3xx_MCU_Clock_Calculator</t>
  </si>
  <si>
    <t>v1.0</t>
  </si>
  <si>
    <t>Document Released</t>
  </si>
  <si>
    <t>McuClockReferencePointFrequency0</t>
  </si>
  <si>
    <t>McuClockReferencePointFrequency1</t>
  </si>
  <si>
    <t>McuClockReferencePointFrequency2</t>
  </si>
  <si>
    <t>Renamed Fpll0,Fpll1 and Fpll2 to align these names to tresos plugins as follows:
Fpll0 -&gt; McuClockReferencePointFrequency0
Fpll1 -&gt; McuClockReferencePointFrequency1
Fpll2 -&gt; McuClockReferencePointFrequency2</t>
  </si>
  <si>
    <t>v1.1</t>
  </si>
  <si>
    <t>Jayakrishnan Varanakkottillam</t>
  </si>
  <si>
    <t>v2.0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</si>
</sst>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00000000000E+00"/>
    <numFmt numFmtId="165" formatCode="0.00000000"/>
    <numFmt numFmtId="166" formatCode="0.0000000000"/>
    <numFmt numFmtId="167" formatCode="0.0000000000E+00"/>
    <numFmt numFmtId="168" formatCode="[$-409]d/mmm/yy;@"/>
  </numFmts>
  <fonts count="2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24"/>
      <color theme="1"/>
      <name val="Algerian"/>
      <family val="5"/>
    </font>
    <font>
      <u/>
      <sz val="11"/>
      <color theme="1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8"/>
      <name val="Arial"/>
      <family val="2"/>
    </font>
    <font>
      <b/>
      <sz val="32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0" applyNumberFormat="0" applyBorder="0" applyAlignment="0" applyProtection="0"/>
    <xf numFmtId="0" fontId="3" fillId="8" borderId="42" applyNumberFormat="0" applyFont="0" applyAlignment="0" applyProtection="0"/>
    <xf numFmtId="0" fontId="4" fillId="9" borderId="0" applyNumberFormat="0" applyBorder="0" applyAlignment="0" applyProtection="0"/>
    <xf numFmtId="0" fontId="12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0" fillId="0" borderId="24" xfId="0" applyBorder="1"/>
    <xf numFmtId="0" fontId="0" fillId="0" borderId="26" xfId="0" applyBorder="1"/>
    <xf numFmtId="0" fontId="0" fillId="0" borderId="30" xfId="0" applyBorder="1"/>
    <xf numFmtId="0" fontId="2" fillId="0" borderId="0" xfId="0" applyFont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2" xfId="0" applyFont="1" applyBorder="1"/>
    <xf numFmtId="0" fontId="0" fillId="0" borderId="18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0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 applyAlignment="1">
      <alignment horizontal="left"/>
    </xf>
    <xf numFmtId="0" fontId="3" fillId="3" borderId="1" xfId="1" applyBorder="1"/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5" fillId="0" borderId="12" xfId="0" applyFont="1" applyBorder="1" applyAlignment="1">
      <alignment horizontal="left"/>
    </xf>
    <xf numFmtId="0" fontId="5" fillId="0" borderId="29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5" fillId="0" borderId="25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5" fillId="0" borderId="23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5" fillId="0" borderId="0" xfId="0" applyFont="1"/>
    <xf numFmtId="0" fontId="3" fillId="0" borderId="0" xfId="3" applyFill="1"/>
    <xf numFmtId="0" fontId="3" fillId="5" borderId="38" xfId="3" applyBorder="1" applyAlignment="1">
      <alignment horizontal="left"/>
    </xf>
    <xf numFmtId="11" fontId="0" fillId="0" borderId="6" xfId="0" applyNumberFormat="1" applyBorder="1" applyAlignment="1">
      <alignment horizontal="left"/>
    </xf>
    <xf numFmtId="11" fontId="0" fillId="0" borderId="0" xfId="0" applyNumberFormat="1"/>
    <xf numFmtId="0" fontId="0" fillId="0" borderId="28" xfId="0" applyBorder="1"/>
    <xf numFmtId="0" fontId="0" fillId="0" borderId="0" xfId="0" applyAlignment="1">
      <alignment horizontal="center"/>
    </xf>
    <xf numFmtId="0" fontId="5" fillId="0" borderId="6" xfId="0" applyFont="1" applyBorder="1" applyAlignment="1">
      <alignment horizontal="center"/>
    </xf>
    <xf numFmtId="0" fontId="4" fillId="9" borderId="24" xfId="7" applyBorder="1" applyAlignment="1">
      <alignment horizontal="center"/>
    </xf>
    <xf numFmtId="0" fontId="4" fillId="9" borderId="13" xfId="7" applyBorder="1" applyAlignment="1">
      <alignment horizontal="center"/>
    </xf>
    <xf numFmtId="0" fontId="4" fillId="9" borderId="27" xfId="7" applyBorder="1" applyAlignment="1">
      <alignment horizontal="center"/>
    </xf>
    <xf numFmtId="0" fontId="4" fillId="9" borderId="23" xfId="7" applyBorder="1" applyAlignment="1">
      <alignment horizontal="center"/>
    </xf>
    <xf numFmtId="0" fontId="4" fillId="9" borderId="14" xfId="7" applyBorder="1" applyAlignment="1">
      <alignment horizontal="center"/>
    </xf>
    <xf numFmtId="0" fontId="4" fillId="9" borderId="3" xfId="7" applyBorder="1" applyAlignment="1">
      <alignment horizontal="center"/>
    </xf>
    <xf numFmtId="0" fontId="3" fillId="3" borderId="33" xfId="1" applyBorder="1" applyAlignment="1">
      <alignment horizontal="center"/>
    </xf>
    <xf numFmtId="0" fontId="3" fillId="3" borderId="34" xfId="1" applyBorder="1" applyAlignment="1">
      <alignment horizontal="center"/>
    </xf>
    <xf numFmtId="0" fontId="0" fillId="0" borderId="0" xfId="0"/>
    <xf numFmtId="0" fontId="0" fillId="0" borderId="0" xfId="0" applyFill="1" applyBorder="1"/>
    <xf numFmtId="0" fontId="0" fillId="0" borderId="0" xfId="0"/>
    <xf numFmtId="0" fontId="5" fillId="3" borderId="2" xfId="1" applyFont="1" applyBorder="1" applyAlignment="1">
      <alignment horizontal="center"/>
    </xf>
    <xf numFmtId="0" fontId="0" fillId="3" borderId="33" xfId="1" applyFont="1" applyBorder="1" applyAlignment="1">
      <alignment horizontal="center"/>
    </xf>
    <xf numFmtId="164" fontId="0" fillId="0" borderId="6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5" fontId="5" fillId="0" borderId="15" xfId="0" applyNumberFormat="1" applyFont="1" applyBorder="1" applyAlignment="1">
      <alignment horizontal="left"/>
    </xf>
    <xf numFmtId="165" fontId="5" fillId="0" borderId="29" xfId="0" applyNumberFormat="1" applyFont="1" applyBorder="1" applyAlignment="1">
      <alignment horizontal="left"/>
    </xf>
    <xf numFmtId="0" fontId="5" fillId="0" borderId="0" xfId="0" applyFont="1" applyBorder="1"/>
    <xf numFmtId="0" fontId="0" fillId="0" borderId="18" xfId="0" applyBorder="1" applyProtection="1"/>
    <xf numFmtId="1" fontId="0" fillId="0" borderId="6" xfId="0" applyNumberFormat="1" applyBorder="1" applyAlignment="1">
      <alignment horizontal="left"/>
    </xf>
    <xf numFmtId="166" fontId="0" fillId="0" borderId="5" xfId="0" applyNumberFormat="1" applyFont="1" applyBorder="1" applyAlignment="1">
      <alignment horizontal="center"/>
    </xf>
    <xf numFmtId="166" fontId="0" fillId="0" borderId="8" xfId="0" applyNumberFormat="1" applyFont="1" applyBorder="1" applyAlignment="1">
      <alignment horizontal="center"/>
    </xf>
    <xf numFmtId="167" fontId="0" fillId="0" borderId="6" xfId="0" applyNumberFormat="1" applyBorder="1" applyAlignment="1">
      <alignment horizontal="left"/>
    </xf>
    <xf numFmtId="0" fontId="0" fillId="5" borderId="38" xfId="3" applyFont="1" applyBorder="1" applyAlignment="1">
      <alignment horizontal="left"/>
    </xf>
    <xf numFmtId="2" fontId="0" fillId="3" borderId="33" xfId="1" applyNumberFormat="1" applyFont="1" applyBorder="1" applyAlignment="1">
      <alignment horizontal="center"/>
    </xf>
    <xf numFmtId="0" fontId="5" fillId="3" borderId="11" xfId="1" applyFont="1" applyBorder="1" applyAlignment="1">
      <alignment horizontal="center"/>
    </xf>
    <xf numFmtId="0" fontId="5" fillId="3" borderId="14" xfId="1" applyFont="1" applyBorder="1" applyAlignment="1">
      <alignment horizontal="center"/>
    </xf>
    <xf numFmtId="0" fontId="5" fillId="3" borderId="3" xfId="1" applyFont="1" applyBorder="1" applyAlignment="1">
      <alignment horizontal="center"/>
    </xf>
    <xf numFmtId="0" fontId="3" fillId="11" borderId="3" xfId="1" applyFill="1" applyBorder="1" applyAlignment="1">
      <alignment horizontal="center"/>
    </xf>
    <xf numFmtId="0" fontId="12" fillId="0" borderId="0" xfId="8" applyFont="1" applyFill="1" applyBorder="1" applyAlignment="1" applyProtection="1"/>
    <xf numFmtId="0" fontId="12" fillId="0" borderId="0" xfId="8"/>
    <xf numFmtId="0" fontId="13" fillId="3" borderId="33" xfId="1" applyFont="1" applyBorder="1" applyAlignment="1">
      <alignment horizontal="center"/>
    </xf>
    <xf numFmtId="0" fontId="14" fillId="0" borderId="12" xfId="0" applyFont="1" applyBorder="1"/>
    <xf numFmtId="0" fontId="13" fillId="3" borderId="34" xfId="1" applyFont="1" applyBorder="1" applyAlignment="1">
      <alignment horizontal="center"/>
    </xf>
    <xf numFmtId="0" fontId="15" fillId="10" borderId="11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Fill="1" applyBorder="1"/>
    <xf numFmtId="0" fontId="12" fillId="12" borderId="0" xfId="8" applyFill="1" applyAlignment="1" applyProtection="1">
      <alignment vertical="top"/>
    </xf>
    <xf numFmtId="0" fontId="17" fillId="12" borderId="0" xfId="8" applyFont="1" applyFill="1" applyAlignment="1" applyProtection="1">
      <alignment vertical="top"/>
    </xf>
    <xf numFmtId="0" fontId="18" fillId="12" borderId="0" xfId="8" applyFont="1" applyFill="1" applyAlignment="1" applyProtection="1">
      <alignment vertical="top"/>
      <protection locked="0"/>
    </xf>
    <xf numFmtId="0" fontId="18" fillId="12" borderId="0" xfId="8" applyFont="1" applyFill="1" applyAlignment="1" applyProtection="1">
      <alignment vertical="top" wrapText="1"/>
    </xf>
    <xf numFmtId="0" fontId="12" fillId="12" borderId="0" xfId="8" applyFill="1" applyAlignment="1" applyProtection="1">
      <alignment horizontal="right" vertical="top"/>
    </xf>
    <xf numFmtId="0" fontId="12" fillId="12" borderId="0" xfId="8" applyFill="1" applyAlignment="1" applyProtection="1">
      <alignment vertical="top" wrapText="1"/>
    </xf>
    <xf numFmtId="0" fontId="19" fillId="0" borderId="0" xfId="8" applyFont="1" applyFill="1" applyBorder="1" applyAlignment="1" applyProtection="1">
      <alignment horizontal="center" vertical="top"/>
    </xf>
    <xf numFmtId="0" fontId="19" fillId="0" borderId="0" xfId="8" applyFont="1" applyFill="1" applyBorder="1" applyAlignment="1" applyProtection="1">
      <alignment vertical="top"/>
    </xf>
    <xf numFmtId="0" fontId="19" fillId="0" borderId="0" xfId="8" applyFont="1" applyFill="1" applyBorder="1" applyAlignment="1" applyProtection="1">
      <alignment vertical="top" wrapText="1"/>
    </xf>
    <xf numFmtId="0" fontId="12" fillId="0" borderId="0" xfId="8" applyFont="1" applyFill="1" applyBorder="1" applyAlignment="1" applyProtection="1">
      <alignment horizontal="center" vertical="top"/>
      <protection locked="0"/>
    </xf>
    <xf numFmtId="168" fontId="12" fillId="0" borderId="0" xfId="8" applyNumberFormat="1" applyFill="1" applyBorder="1" applyAlignment="1" applyProtection="1">
      <alignment horizontal="center" vertical="top"/>
      <protection locked="0"/>
    </xf>
    <xf numFmtId="0" fontId="12" fillId="0" borderId="0" xfId="8" applyFont="1" applyFill="1" applyBorder="1" applyAlignment="1" applyProtection="1">
      <alignment vertical="top"/>
      <protection locked="0"/>
    </xf>
    <xf numFmtId="0" fontId="12" fillId="0" borderId="0" xfId="8" applyFont="1" applyFill="1" applyBorder="1" applyAlignment="1" applyProtection="1">
      <alignment vertical="top" wrapText="1"/>
      <protection locked="0"/>
    </xf>
    <xf numFmtId="168" fontId="12" fillId="0" borderId="0" xfId="8" applyNumberFormat="1" applyFill="1" applyAlignment="1" applyProtection="1">
      <alignment horizontal="center" vertical="top"/>
      <protection locked="0"/>
    </xf>
    <xf numFmtId="0" fontId="12" fillId="0" borderId="0" xfId="8" applyFont="1" applyFill="1" applyAlignment="1" applyProtection="1">
      <alignment vertical="top" wrapText="1"/>
      <protection locked="0"/>
    </xf>
    <xf numFmtId="0" fontId="12" fillId="0" borderId="0" xfId="8" applyFill="1" applyAlignment="1" applyProtection="1">
      <alignment vertical="top"/>
      <protection locked="0"/>
    </xf>
    <xf numFmtId="0" fontId="16" fillId="12" borderId="0" xfId="8" applyFont="1" applyFill="1" applyAlignment="1" applyProtection="1">
      <alignment horizontal="center" vertical="top"/>
    </xf>
    <xf numFmtId="0" fontId="16" fillId="12" borderId="0" xfId="8" applyFont="1" applyFill="1" applyAlignment="1" applyProtection="1">
      <alignment horizontal="center" vertical="top"/>
    </xf>
    <xf numFmtId="0" fontId="12" fillId="12" borderId="0" xfId="8" applyFont="1" applyFill="1" applyAlignment="1" applyProtection="1">
      <alignment horizontal="right" vertical="top"/>
    </xf>
    <xf numFmtId="0" fontId="4" fillId="7" borderId="46" xfId="5" applyBorder="1"/>
    <xf numFmtId="0" fontId="4" fillId="7" borderId="47" xfId="5" applyBorder="1"/>
    <xf numFmtId="0" fontId="4" fillId="7" borderId="48" xfId="5" applyBorder="1"/>
    <xf numFmtId="0" fontId="7" fillId="8" borderId="55" xfId="6" applyFont="1" applyBorder="1" applyAlignment="1">
      <alignment horizontal="center" vertical="center"/>
    </xf>
    <xf numFmtId="0" fontId="8" fillId="8" borderId="56" xfId="6" applyFont="1" applyBorder="1" applyAlignment="1">
      <alignment horizontal="center" vertical="center"/>
    </xf>
    <xf numFmtId="0" fontId="8" fillId="8" borderId="57" xfId="6" applyFont="1" applyBorder="1" applyAlignment="1">
      <alignment horizontal="center" vertical="center"/>
    </xf>
    <xf numFmtId="0" fontId="8" fillId="8" borderId="58" xfId="6" applyFont="1" applyBorder="1" applyAlignment="1">
      <alignment horizontal="center" vertical="center"/>
    </xf>
    <xf numFmtId="0" fontId="8" fillId="8" borderId="42" xfId="6" applyFont="1" applyBorder="1" applyAlignment="1">
      <alignment horizontal="center" vertical="center"/>
    </xf>
    <xf numFmtId="0" fontId="8" fillId="8" borderId="33" xfId="6" applyFont="1" applyBorder="1" applyAlignment="1">
      <alignment horizontal="center" vertical="center"/>
    </xf>
    <xf numFmtId="0" fontId="8" fillId="8" borderId="59" xfId="6" applyFont="1" applyBorder="1" applyAlignment="1">
      <alignment horizontal="center" vertical="center"/>
    </xf>
    <xf numFmtId="0" fontId="8" fillId="8" borderId="60" xfId="6" applyFont="1" applyBorder="1" applyAlignment="1">
      <alignment horizontal="center" vertical="center"/>
    </xf>
    <xf numFmtId="0" fontId="8" fillId="8" borderId="34" xfId="6" applyFont="1" applyBorder="1" applyAlignment="1">
      <alignment horizontal="center" vertical="center"/>
    </xf>
    <xf numFmtId="0" fontId="4" fillId="7" borderId="44" xfId="5" applyBorder="1"/>
    <xf numFmtId="0" fontId="4" fillId="7" borderId="43" xfId="5" applyBorder="1"/>
    <xf numFmtId="0" fontId="4" fillId="7" borderId="45" xfId="5" applyBorder="1"/>
    <xf numFmtId="0" fontId="4" fillId="7" borderId="37" xfId="5" applyBorder="1"/>
    <xf numFmtId="0" fontId="4" fillId="7" borderId="39" xfId="5" applyBorder="1"/>
    <xf numFmtId="0" fontId="4" fillId="7" borderId="38" xfId="5" applyBorder="1"/>
    <xf numFmtId="0" fontId="0" fillId="0" borderId="40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3" xfId="0" applyBorder="1" applyAlignment="1">
      <alignment horizontal="left"/>
    </xf>
    <xf numFmtId="0" fontId="4" fillId="7" borderId="49" xfId="5" applyBorder="1" applyAlignment="1">
      <alignment vertical="top"/>
    </xf>
    <xf numFmtId="0" fontId="4" fillId="7" borderId="50" xfId="5" applyBorder="1" applyAlignment="1">
      <alignment vertical="top"/>
    </xf>
    <xf numFmtId="0" fontId="4" fillId="7" borderId="51" xfId="5" applyBorder="1" applyAlignment="1">
      <alignment vertical="top"/>
    </xf>
    <xf numFmtId="0" fontId="9" fillId="7" borderId="4" xfId="5" applyFont="1" applyBorder="1" applyAlignment="1">
      <alignment horizontal="center" vertical="center"/>
    </xf>
    <xf numFmtId="0" fontId="9" fillId="7" borderId="22" xfId="5" applyFont="1" applyBorder="1" applyAlignment="1">
      <alignment horizontal="center" vertical="center"/>
    </xf>
    <xf numFmtId="0" fontId="9" fillId="7" borderId="5" xfId="5" applyFont="1" applyBorder="1" applyAlignment="1">
      <alignment horizontal="center" vertical="center"/>
    </xf>
    <xf numFmtId="0" fontId="9" fillId="7" borderId="7" xfId="5" applyFont="1" applyBorder="1" applyAlignment="1">
      <alignment horizontal="center" vertical="center"/>
    </xf>
    <xf numFmtId="0" fontId="9" fillId="7" borderId="10" xfId="5" applyFont="1" applyBorder="1" applyAlignment="1">
      <alignment horizontal="center" vertical="center"/>
    </xf>
    <xf numFmtId="0" fontId="9" fillId="7" borderId="8" xfId="5" applyFont="1" applyBorder="1" applyAlignment="1">
      <alignment horizontal="center" vertical="center"/>
    </xf>
    <xf numFmtId="0" fontId="4" fillId="7" borderId="52" xfId="5" applyBorder="1" applyAlignment="1">
      <alignment vertical="top"/>
    </xf>
    <xf numFmtId="0" fontId="4" fillId="7" borderId="53" xfId="5" applyBorder="1" applyAlignment="1">
      <alignment vertical="top"/>
    </xf>
    <xf numFmtId="0" fontId="4" fillId="7" borderId="54" xfId="5" applyBorder="1" applyAlignment="1">
      <alignment vertical="top"/>
    </xf>
    <xf numFmtId="0" fontId="0" fillId="0" borderId="0" xfId="0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61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3" fillId="2" borderId="31" xfId="4" applyFill="1" applyBorder="1" applyAlignment="1">
      <alignment horizontal="center"/>
    </xf>
    <xf numFmtId="0" fontId="3" fillId="2" borderId="32" xfId="4" applyFill="1" applyBorder="1" applyAlignment="1">
      <alignment horizontal="center"/>
    </xf>
    <xf numFmtId="0" fontId="1" fillId="2" borderId="4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3" fillId="2" borderId="20" xfId="4" applyFill="1" applyBorder="1" applyAlignment="1">
      <alignment horizontal="center"/>
    </xf>
    <xf numFmtId="0" fontId="3" fillId="2" borderId="21" xfId="4" applyFill="1" applyBorder="1" applyAlignment="1">
      <alignment horizontal="center"/>
    </xf>
    <xf numFmtId="0" fontId="6" fillId="0" borderId="0" xfId="0" applyFont="1" applyAlignment="1">
      <alignment horizontal="left" vertical="center"/>
    </xf>
    <xf numFmtId="0" fontId="0" fillId="0" borderId="0" xfId="0"/>
    <xf numFmtId="0" fontId="4" fillId="4" borderId="35" xfId="2" applyBorder="1" applyAlignment="1">
      <alignment horizontal="center"/>
    </xf>
    <xf numFmtId="0" fontId="4" fillId="4" borderId="36" xfId="2" applyBorder="1" applyAlignment="1">
      <alignment horizontal="center"/>
    </xf>
    <xf numFmtId="0" fontId="4" fillId="4" borderId="37" xfId="2" applyBorder="1" applyAlignment="1">
      <alignment horizontal="center"/>
    </xf>
    <xf numFmtId="0" fontId="4" fillId="4" borderId="38" xfId="2" applyBorder="1" applyAlignment="1">
      <alignment horizontal="center"/>
    </xf>
    <xf numFmtId="0" fontId="4" fillId="4" borderId="30" xfId="2" applyBorder="1" applyAlignment="1">
      <alignment horizontal="center"/>
    </xf>
    <xf numFmtId="0" fontId="4" fillId="4" borderId="6" xfId="2" applyBorder="1" applyAlignment="1">
      <alignment horizontal="center"/>
    </xf>
  </cellXfs>
  <cellStyles count="9">
    <cellStyle name="40% - Accent1" xfId="1" builtinId="31"/>
    <cellStyle name="40% - Accent3" xfId="4" builtinId="39"/>
    <cellStyle name="40% - Accent5" xfId="3" builtinId="47"/>
    <cellStyle name="Accent1" xfId="5" builtinId="29"/>
    <cellStyle name="Accent2" xfId="7" builtinId="33"/>
    <cellStyle name="Accent6" xfId="2" builtinId="49"/>
    <cellStyle name="Normal" xfId="0" builtinId="0"/>
    <cellStyle name="Normal 2" xfId="8"/>
    <cellStyle name="Note" xfId="6" builtinId="1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vertical="top" textRotation="0" indent="0" justifyLastLine="0" shrinkToFit="0" readingOrder="0"/>
      <protection locked="0" hidden="0"/>
    </dxf>
    <dxf>
      <numFmt numFmtId="168" formatCode="[$-409]d/mmm/yy;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vertical="top" textRotation="0" indent="0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vertical="top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vertical="top" textRotation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469900</xdr:colOff>
          <xdr:row>5</xdr:row>
          <xdr:rowOff>107950</xdr:rowOff>
        </xdr:from>
        <xdr:to>
          <xdr:col>17</xdr:col>
          <xdr:colOff>44450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571500</xdr:colOff>
          <xdr:row>14</xdr:row>
          <xdr:rowOff>50800</xdr:rowOff>
        </xdr:from>
        <xdr:to>
          <xdr:col>8</xdr:col>
          <xdr:colOff>615950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546100</xdr:colOff>
          <xdr:row>14</xdr:row>
          <xdr:rowOff>44450</xdr:rowOff>
        </xdr:from>
        <xdr:to>
          <xdr:col>5</xdr:col>
          <xdr:colOff>444500</xdr:colOff>
          <xdr:row>15</xdr:row>
          <xdr:rowOff>107950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349250</xdr:colOff>
          <xdr:row>55</xdr:row>
          <xdr:rowOff>69850</xdr:rowOff>
        </xdr:from>
        <xdr:to>
          <xdr:col>6</xdr:col>
          <xdr:colOff>717550</xdr:colOff>
          <xdr:row>57</xdr:row>
          <xdr:rowOff>63500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28433</xdr:colOff>
      <xdr:row>2</xdr:row>
      <xdr:rowOff>161120</xdr:rowOff>
    </xdr:from>
    <xdr:to>
      <xdr:col>14</xdr:col>
      <xdr:colOff>1074108</xdr:colOff>
      <xdr:row>5</xdr:row>
      <xdr:rowOff>3901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1493" y="540224"/>
          <a:ext cx="6239407" cy="383005"/>
        </a:xfrm>
        <a:prstGeom prst="rect">
          <a:avLst/>
        </a:prstGeom>
      </xdr:spPr>
    </xdr:pic>
    <xdr:clientData/>
  </xdr:twoCellAnchor>
  <xdr:twoCellAnchor editAs="oneCell">
    <xdr:from>
      <xdr:col>10</xdr:col>
      <xdr:colOff>28433</xdr:colOff>
      <xdr:row>5</xdr:row>
      <xdr:rowOff>18956</xdr:rowOff>
    </xdr:from>
    <xdr:to>
      <xdr:col>14</xdr:col>
      <xdr:colOff>1093155</xdr:colOff>
      <xdr:row>8</xdr:row>
      <xdr:rowOff>149505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61493" y="938284"/>
          <a:ext cx="6258454" cy="6707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1358900</xdr:colOff>
          <xdr:row>1</xdr:row>
          <xdr:rowOff>38100</xdr:rowOff>
        </xdr:from>
        <xdr:to>
          <xdr:col>2</xdr:col>
          <xdr:colOff>1790700</xdr:colOff>
          <xdr:row>2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1308100</xdr:colOff>
          <xdr:row>67</xdr:row>
          <xdr:rowOff>50800</xdr:rowOff>
        </xdr:from>
        <xdr:to>
          <xdr:col>2</xdr:col>
          <xdr:colOff>1746250</xdr:colOff>
          <xdr:row>68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ISTORY" displayName="HISTORY" ref="B7:E28" totalsRowShown="0" headerRowDxfId="5" dataDxfId="4">
  <tableColumns count="4">
    <tableColumn id="1" name="Version" dataDxfId="3"/>
    <tableColumn id="2" name="Date" dataDxfId="2"/>
    <tableColumn id="3" name="Changed by" dataDxfId="1"/>
    <tableColumn id="4" name="Change Description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29"/>
  <sheetViews>
    <sheetView tabSelected="1" topLeftCell="A4" workbookViewId="0">
      <selection activeCell="E11" sqref="E11"/>
    </sheetView>
  </sheetViews>
  <sheetFormatPr defaultColWidth="9.08984375" defaultRowHeight="12.5" x14ac:dyDescent="0.35"/>
  <cols>
    <col min="1" max="1" width="2.90625" style="83" customWidth="1"/>
    <col min="2" max="2" width="11.54296875" style="83" customWidth="1"/>
    <col min="3" max="3" width="10.54296875" style="83" bestFit="1" customWidth="1"/>
    <col min="4" max="4" width="17.54296875" style="83" customWidth="1"/>
    <col min="5" max="5" width="77" style="88" customWidth="1"/>
    <col min="6" max="6" width="2.90625" style="83" customWidth="1"/>
    <col min="7" max="16384" width="9.08984375" style="83"/>
  </cols>
  <sheetData>
    <row r="1" spans="2:6" ht="12.65" customHeight="1" x14ac:dyDescent="0.35">
      <c r="B1" s="101"/>
      <c r="C1" s="101"/>
      <c r="D1" s="85"/>
      <c r="E1" s="86"/>
    </row>
    <row r="2" spans="2:6" ht="40" x14ac:dyDescent="0.35">
      <c r="B2" s="100" t="s">
        <v>217</v>
      </c>
      <c r="C2" s="100"/>
      <c r="D2" s="100"/>
      <c r="E2" s="100"/>
      <c r="F2" s="84"/>
    </row>
    <row r="3" spans="2:6" ht="40" x14ac:dyDescent="0.35">
      <c r="B3" s="99"/>
      <c r="C3" s="99"/>
      <c r="D3" s="99"/>
      <c r="E3" s="99"/>
      <c r="F3" s="84"/>
    </row>
    <row r="4" spans="2:6" ht="40" x14ac:dyDescent="0.35">
      <c r="B4" s="99"/>
      <c r="C4" s="99"/>
      <c r="D4" s="99"/>
      <c r="E4" s="99"/>
      <c r="F4" s="84"/>
    </row>
    <row r="5" spans="2:6" x14ac:dyDescent="0.35">
      <c r="C5" s="87" t="s">
        <v>210</v>
      </c>
    </row>
    <row r="7" spans="2:6" x14ac:dyDescent="0.35">
      <c r="B7" s="89" t="s">
        <v>211</v>
      </c>
      <c r="C7" s="89" t="s">
        <v>212</v>
      </c>
      <c r="D7" s="90" t="s">
        <v>213</v>
      </c>
      <c r="E7" s="91" t="s">
        <v>214</v>
      </c>
    </row>
    <row r="8" spans="2:6" x14ac:dyDescent="0.35">
      <c r="B8" s="92" t="s">
        <v>215</v>
      </c>
      <c r="C8" s="93">
        <v>44147</v>
      </c>
      <c r="D8" s="94" t="s">
        <v>209</v>
      </c>
      <c r="E8" s="95" t="s">
        <v>216</v>
      </c>
    </row>
    <row r="9" spans="2:6" x14ac:dyDescent="0.35">
      <c r="B9" s="92" t="s">
        <v>218</v>
      </c>
      <c r="C9" s="93">
        <v>44147</v>
      </c>
      <c r="D9" s="94" t="s">
        <v>209</v>
      </c>
      <c r="E9" s="95" t="s">
        <v>219</v>
      </c>
    </row>
    <row r="10" spans="2:6" ht="50" x14ac:dyDescent="0.35">
      <c r="B10" s="92" t="s">
        <v>224</v>
      </c>
      <c r="C10" s="93">
        <v>44480</v>
      </c>
      <c r="D10" s="95" t="s">
        <v>225</v>
      </c>
      <c r="E10" s="95" t="s">
        <v>223</v>
      </c>
    </row>
    <row r="11" spans="2:6" ht="25" x14ac:dyDescent="0.35">
      <c r="B11" s="92" t="s">
        <v>226</v>
      </c>
      <c r="C11" s="93">
        <v>44489</v>
      </c>
      <c r="D11" s="95" t="s">
        <v>225</v>
      </c>
      <c r="E11" s="95" t="s">
        <v>219</v>
      </c>
    </row>
    <row r="12" spans="2:6" x14ac:dyDescent="0.35">
      <c r="B12" s="92"/>
      <c r="C12" s="93"/>
      <c r="D12" s="94"/>
      <c r="E12" s="95"/>
    </row>
    <row r="13" spans="2:6" x14ac:dyDescent="0.35">
      <c r="B13" s="92"/>
      <c r="C13" s="93"/>
      <c r="D13" s="94"/>
      <c r="E13" s="95"/>
    </row>
    <row r="14" spans="2:6" x14ac:dyDescent="0.35">
      <c r="B14" s="92"/>
      <c r="C14" s="93"/>
      <c r="D14" s="94"/>
      <c r="E14" s="95"/>
    </row>
    <row r="15" spans="2:6" x14ac:dyDescent="0.35">
      <c r="B15" s="92"/>
      <c r="C15" s="93"/>
      <c r="D15" s="94"/>
      <c r="E15" s="95"/>
    </row>
    <row r="16" spans="2:6" x14ac:dyDescent="0.35">
      <c r="B16" s="92"/>
      <c r="C16" s="93"/>
      <c r="D16" s="94"/>
      <c r="E16" s="95"/>
    </row>
    <row r="17" spans="2:5" x14ac:dyDescent="0.35">
      <c r="B17" s="92"/>
      <c r="C17" s="93"/>
      <c r="D17" s="94"/>
      <c r="E17" s="95"/>
    </row>
    <row r="18" spans="2:5" x14ac:dyDescent="0.35">
      <c r="B18" s="92"/>
      <c r="C18" s="93"/>
      <c r="D18" s="94"/>
      <c r="E18" s="95"/>
    </row>
    <row r="19" spans="2:5" x14ac:dyDescent="0.35">
      <c r="B19" s="92"/>
      <c r="C19" s="93"/>
      <c r="D19" s="94"/>
      <c r="E19" s="95"/>
    </row>
    <row r="20" spans="2:5" x14ac:dyDescent="0.35">
      <c r="B20" s="92"/>
      <c r="C20" s="96"/>
      <c r="D20" s="94"/>
      <c r="E20" s="97"/>
    </row>
    <row r="21" spans="2:5" x14ac:dyDescent="0.35">
      <c r="B21" s="92"/>
      <c r="C21" s="96"/>
      <c r="D21" s="94"/>
      <c r="E21" s="97"/>
    </row>
    <row r="22" spans="2:5" x14ac:dyDescent="0.35">
      <c r="B22" s="92"/>
      <c r="C22" s="96"/>
      <c r="D22" s="94"/>
      <c r="E22" s="97"/>
    </row>
    <row r="23" spans="2:5" x14ac:dyDescent="0.35">
      <c r="B23" s="92"/>
      <c r="C23" s="96"/>
      <c r="D23" s="94"/>
      <c r="E23" s="97"/>
    </row>
    <row r="24" spans="2:5" x14ac:dyDescent="0.35">
      <c r="B24" s="92"/>
      <c r="C24" s="96"/>
      <c r="D24" s="95"/>
      <c r="E24" s="97"/>
    </row>
    <row r="25" spans="2:5" x14ac:dyDescent="0.35">
      <c r="B25" s="92"/>
      <c r="C25" s="96"/>
      <c r="D25" s="95"/>
      <c r="E25" s="97"/>
    </row>
    <row r="26" spans="2:5" x14ac:dyDescent="0.35">
      <c r="B26" s="92"/>
      <c r="C26" s="96"/>
      <c r="D26" s="95"/>
      <c r="E26" s="97"/>
    </row>
    <row r="27" spans="2:5" x14ac:dyDescent="0.35">
      <c r="B27" s="92"/>
      <c r="C27" s="96"/>
      <c r="D27" s="95"/>
      <c r="E27" s="97"/>
    </row>
    <row r="28" spans="2:5" x14ac:dyDescent="0.35">
      <c r="B28" s="92"/>
      <c r="C28" s="96"/>
      <c r="D28" s="95"/>
      <c r="E28" s="97"/>
    </row>
    <row r="29" spans="2:5" x14ac:dyDescent="0.35">
      <c r="B29" s="98"/>
      <c r="C29" s="96"/>
      <c r="D29" s="95"/>
      <c r="E29" s="97"/>
    </row>
  </sheetData>
  <mergeCells count="2">
    <mergeCell ref="B2:E2"/>
    <mergeCell ref="B1:C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F1:R35"/>
  <sheetViews>
    <sheetView topLeftCell="B1" zoomScale="85" workbookViewId="0">
      <selection activeCell="V16" sqref="V16"/>
    </sheetView>
  </sheetViews>
  <sheetFormatPr defaultRowHeight="14.5" x14ac:dyDescent="0.35"/>
  <sheetData>
    <row r="1" spans="6:18" ht="15" thickBot="1" x14ac:dyDescent="0.4"/>
    <row r="2" spans="6:18" x14ac:dyDescent="0.35">
      <c r="F2" s="105" t="s">
        <v>127</v>
      </c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7"/>
    </row>
    <row r="3" spans="6:18" x14ac:dyDescent="0.35">
      <c r="F3" s="108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10"/>
    </row>
    <row r="4" spans="6:18" x14ac:dyDescent="0.35">
      <c r="F4" s="108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10"/>
    </row>
    <row r="5" spans="6:18" ht="15" thickBot="1" x14ac:dyDescent="0.4">
      <c r="F5" s="111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3"/>
    </row>
    <row r="6" spans="6:18" ht="15" thickBot="1" x14ac:dyDescent="0.4"/>
    <row r="7" spans="6:18" ht="15" thickBot="1" x14ac:dyDescent="0.4">
      <c r="L7" s="120" t="s">
        <v>132</v>
      </c>
      <c r="M7" s="121"/>
      <c r="N7" s="121"/>
      <c r="O7" s="121"/>
      <c r="P7" s="121"/>
      <c r="Q7" s="122"/>
    </row>
    <row r="8" spans="6:18" ht="15" thickBot="1" x14ac:dyDescent="0.4"/>
    <row r="9" spans="6:18" x14ac:dyDescent="0.35">
      <c r="G9" s="126" t="s">
        <v>150</v>
      </c>
      <c r="H9" s="127"/>
      <c r="I9" s="127"/>
      <c r="J9" s="127"/>
      <c r="K9" s="127"/>
      <c r="L9" s="127"/>
      <c r="M9" s="127"/>
      <c r="N9" s="127"/>
      <c r="O9" s="127"/>
      <c r="P9" s="127"/>
      <c r="Q9" s="128"/>
    </row>
    <row r="10" spans="6:18" ht="15" thickBot="1" x14ac:dyDescent="0.4">
      <c r="G10" s="129"/>
      <c r="H10" s="130"/>
      <c r="I10" s="130"/>
      <c r="J10" s="130"/>
      <c r="K10" s="130"/>
      <c r="L10" s="130"/>
      <c r="M10" s="130"/>
      <c r="N10" s="130"/>
      <c r="O10" s="130"/>
      <c r="P10" s="130"/>
      <c r="Q10" s="131"/>
    </row>
    <row r="11" spans="6:18" x14ac:dyDescent="0.35">
      <c r="G11" s="114" t="s">
        <v>128</v>
      </c>
      <c r="H11" s="115"/>
      <c r="I11" s="115"/>
      <c r="J11" s="115"/>
      <c r="K11" s="115"/>
      <c r="L11" s="115"/>
      <c r="M11" s="115"/>
      <c r="N11" s="115"/>
      <c r="O11" s="115"/>
      <c r="P11" s="115"/>
      <c r="Q11" s="116"/>
    </row>
    <row r="12" spans="6:18" x14ac:dyDescent="0.35">
      <c r="G12" s="117" t="s">
        <v>147</v>
      </c>
      <c r="H12" s="118"/>
      <c r="I12" s="118"/>
      <c r="J12" s="118"/>
      <c r="K12" s="118"/>
      <c r="L12" s="118"/>
      <c r="M12" s="118"/>
      <c r="N12" s="118"/>
      <c r="O12" s="118"/>
      <c r="P12" s="118"/>
      <c r="Q12" s="119"/>
    </row>
    <row r="13" spans="6:18" x14ac:dyDescent="0.35">
      <c r="G13" s="117" t="s">
        <v>129</v>
      </c>
      <c r="H13" s="118"/>
      <c r="I13" s="118"/>
      <c r="J13" s="118"/>
      <c r="K13" s="118"/>
      <c r="L13" s="118"/>
      <c r="M13" s="118"/>
      <c r="N13" s="118"/>
      <c r="O13" s="118"/>
      <c r="P13" s="118"/>
      <c r="Q13" s="119"/>
    </row>
    <row r="14" spans="6:18" x14ac:dyDescent="0.35">
      <c r="G14" s="117" t="s">
        <v>130</v>
      </c>
      <c r="H14" s="118"/>
      <c r="I14" s="118"/>
      <c r="J14" s="118"/>
      <c r="K14" s="118"/>
      <c r="L14" s="118"/>
      <c r="M14" s="118"/>
      <c r="N14" s="118"/>
      <c r="O14" s="118"/>
      <c r="P14" s="118"/>
      <c r="Q14" s="119"/>
    </row>
    <row r="15" spans="6:18" x14ac:dyDescent="0.35">
      <c r="G15" s="117" t="s">
        <v>131</v>
      </c>
      <c r="H15" s="118"/>
      <c r="I15" s="118"/>
      <c r="J15" s="118"/>
      <c r="K15" s="118"/>
      <c r="L15" s="118"/>
      <c r="M15" s="118"/>
      <c r="N15" s="118"/>
      <c r="O15" s="118"/>
      <c r="P15" s="118"/>
      <c r="Q15" s="119"/>
    </row>
    <row r="16" spans="6:18" x14ac:dyDescent="0.35">
      <c r="G16" s="123" t="s">
        <v>208</v>
      </c>
      <c r="H16" s="124"/>
      <c r="I16" s="124"/>
      <c r="J16" s="124"/>
      <c r="K16" s="124"/>
      <c r="L16" s="124"/>
      <c r="M16" s="124"/>
      <c r="N16" s="124"/>
      <c r="O16" s="124"/>
      <c r="P16" s="124"/>
      <c r="Q16" s="125"/>
    </row>
    <row r="17" spans="6:17" s="55" customFormat="1" x14ac:dyDescent="0.35">
      <c r="G17" s="132" t="s">
        <v>207</v>
      </c>
      <c r="H17" s="133"/>
      <c r="I17" s="133"/>
      <c r="J17" s="133"/>
      <c r="K17" s="133"/>
      <c r="L17" s="133"/>
      <c r="M17" s="133"/>
      <c r="N17" s="133"/>
      <c r="O17" s="133"/>
      <c r="P17" s="133"/>
      <c r="Q17" s="134"/>
    </row>
    <row r="18" spans="6:17" x14ac:dyDescent="0.35">
      <c r="G18" s="117" t="s">
        <v>148</v>
      </c>
      <c r="H18" s="118"/>
      <c r="I18" s="118"/>
      <c r="J18" s="118"/>
      <c r="K18" s="118"/>
      <c r="L18" s="118"/>
      <c r="M18" s="118"/>
      <c r="N18" s="118"/>
      <c r="O18" s="118"/>
      <c r="P18" s="118"/>
      <c r="Q18" s="119"/>
    </row>
    <row r="19" spans="6:17" x14ac:dyDescent="0.35">
      <c r="G19" s="117" t="s">
        <v>206</v>
      </c>
      <c r="H19" s="118"/>
      <c r="I19" s="118"/>
      <c r="J19" s="118"/>
      <c r="K19" s="118"/>
      <c r="L19" s="118"/>
      <c r="M19" s="118"/>
      <c r="N19" s="118"/>
      <c r="O19" s="118"/>
      <c r="P19" s="118"/>
      <c r="Q19" s="119"/>
    </row>
    <row r="20" spans="6:17" ht="15" thickBot="1" x14ac:dyDescent="0.4">
      <c r="G20" s="102" t="s">
        <v>142</v>
      </c>
      <c r="H20" s="103"/>
      <c r="I20" s="103"/>
      <c r="J20" s="103"/>
      <c r="K20" s="103"/>
      <c r="L20" s="103"/>
      <c r="M20" s="103"/>
      <c r="N20" s="103"/>
      <c r="O20" s="103"/>
      <c r="P20" s="103"/>
      <c r="Q20" s="104"/>
    </row>
    <row r="32" spans="6:17" x14ac:dyDescent="0.35">
      <c r="F32" s="81"/>
      <c r="G32" s="81"/>
      <c r="H32" s="81"/>
      <c r="I32" s="53"/>
    </row>
    <row r="33" spans="6:9" x14ac:dyDescent="0.35">
      <c r="F33" s="81"/>
      <c r="G33" s="81"/>
      <c r="H33" s="81"/>
      <c r="I33" s="53"/>
    </row>
    <row r="34" spans="6:9" x14ac:dyDescent="0.35">
      <c r="F34" s="81"/>
      <c r="G34" s="81"/>
      <c r="H34" s="81"/>
      <c r="I34" s="53"/>
    </row>
    <row r="35" spans="6:9" x14ac:dyDescent="0.35">
      <c r="F35" s="82"/>
      <c r="G35" s="82"/>
      <c r="H35" s="82"/>
      <c r="I35" s="54"/>
    </row>
  </sheetData>
  <mergeCells count="13">
    <mergeCell ref="G20:Q20"/>
    <mergeCell ref="F2:R5"/>
    <mergeCell ref="G11:Q11"/>
    <mergeCell ref="G12:Q12"/>
    <mergeCell ref="G13:Q13"/>
    <mergeCell ref="L7:Q7"/>
    <mergeCell ref="G14:Q14"/>
    <mergeCell ref="G15:Q15"/>
    <mergeCell ref="G16:Q16"/>
    <mergeCell ref="G18:Q18"/>
    <mergeCell ref="G19:Q19"/>
    <mergeCell ref="G9:Q10"/>
    <mergeCell ref="G17:Q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o_calc">
                <anchor moveWithCells="1">
                  <from>
                    <xdr:col>14</xdr:col>
                    <xdr:colOff>469900</xdr:colOff>
                    <xdr:row>5</xdr:row>
                    <xdr:rowOff>107950</xdr:rowOff>
                  </from>
                  <to>
                    <xdr:col>17</xdr:col>
                    <xdr:colOff>44450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P64"/>
  <sheetViews>
    <sheetView zoomScale="67" zoomScaleNormal="55" workbookViewId="0">
      <selection activeCell="B2" sqref="B2"/>
    </sheetView>
  </sheetViews>
  <sheetFormatPr defaultColWidth="18.6328125" defaultRowHeight="14.5" x14ac:dyDescent="0.35"/>
  <cols>
    <col min="2" max="2" width="29.36328125" bestFit="1" customWidth="1"/>
    <col min="8" max="8" width="32.6328125" bestFit="1" customWidth="1"/>
  </cols>
  <sheetData>
    <row r="1" spans="2:16" ht="15" thickBot="1" x14ac:dyDescent="0.4"/>
    <row r="2" spans="2:16" ht="15" thickBot="1" x14ac:dyDescent="0.4">
      <c r="B2" s="79" t="s">
        <v>151</v>
      </c>
      <c r="C2" s="73" t="s">
        <v>205</v>
      </c>
      <c r="D2" s="1"/>
      <c r="H2" s="1"/>
      <c r="I2" s="1"/>
      <c r="K2" s="160" t="s">
        <v>136</v>
      </c>
      <c r="L2" s="160"/>
      <c r="M2" s="160"/>
      <c r="N2" s="160"/>
      <c r="O2" s="160"/>
      <c r="P2" s="160"/>
    </row>
    <row r="3" spans="2:16" ht="14.5" customHeight="1" x14ac:dyDescent="0.35">
      <c r="B3" s="142" t="s">
        <v>59</v>
      </c>
      <c r="C3" s="143"/>
      <c r="E3" s="154" t="s">
        <v>146</v>
      </c>
      <c r="F3" s="155"/>
      <c r="H3" s="146" t="s">
        <v>26</v>
      </c>
      <c r="I3" s="147"/>
      <c r="K3" s="160"/>
      <c r="L3" s="160"/>
      <c r="M3" s="160"/>
      <c r="N3" s="160"/>
      <c r="O3" s="160"/>
      <c r="P3" s="160"/>
    </row>
    <row r="4" spans="2:16" ht="14.5" customHeight="1" x14ac:dyDescent="0.35">
      <c r="B4" s="63" t="s">
        <v>143</v>
      </c>
      <c r="C4" s="51" t="s">
        <v>202</v>
      </c>
      <c r="E4" s="9" t="s">
        <v>48</v>
      </c>
      <c r="F4" s="57" t="s">
        <v>149</v>
      </c>
      <c r="H4" s="3" t="s">
        <v>141</v>
      </c>
      <c r="I4" s="44"/>
      <c r="M4" s="24"/>
    </row>
    <row r="5" spans="2:16" x14ac:dyDescent="0.35">
      <c r="B5" s="6" t="s">
        <v>145</v>
      </c>
      <c r="C5" s="69">
        <v>20</v>
      </c>
      <c r="E5" s="156" t="s">
        <v>37</v>
      </c>
      <c r="F5" s="157"/>
      <c r="H5" s="3" t="s">
        <v>133</v>
      </c>
      <c r="I5" s="44"/>
      <c r="M5" s="25"/>
    </row>
    <row r="6" spans="2:16" x14ac:dyDescent="0.35">
      <c r="B6" s="144" t="s">
        <v>26</v>
      </c>
      <c r="C6" s="145"/>
      <c r="E6" s="3" t="s">
        <v>51</v>
      </c>
      <c r="F6" s="57" t="s">
        <v>144</v>
      </c>
      <c r="H6" s="21" t="s">
        <v>220</v>
      </c>
      <c r="I6" s="44"/>
      <c r="M6" s="25"/>
    </row>
    <row r="7" spans="2:16" x14ac:dyDescent="0.35">
      <c r="B7" s="5" t="s">
        <v>40</v>
      </c>
      <c r="C7" s="51">
        <v>0</v>
      </c>
      <c r="E7" s="15" t="s">
        <v>52</v>
      </c>
      <c r="F7" s="51" t="s">
        <v>144</v>
      </c>
      <c r="H7" s="158" t="s">
        <v>46</v>
      </c>
      <c r="I7" s="159"/>
      <c r="J7" s="1"/>
      <c r="K7" s="80"/>
      <c r="M7" s="25"/>
    </row>
    <row r="8" spans="2:16" x14ac:dyDescent="0.35">
      <c r="B8" s="3" t="s">
        <v>41</v>
      </c>
      <c r="C8" s="57">
        <v>29</v>
      </c>
      <c r="E8" s="3" t="s">
        <v>53</v>
      </c>
      <c r="F8" s="51" t="s">
        <v>144</v>
      </c>
      <c r="H8" s="3" t="s">
        <v>141</v>
      </c>
      <c r="I8" s="44"/>
      <c r="J8" s="1"/>
      <c r="M8" s="26"/>
      <c r="N8" s="1"/>
    </row>
    <row r="9" spans="2:16" ht="15" customHeight="1" x14ac:dyDescent="0.35">
      <c r="B9" s="6" t="s">
        <v>42</v>
      </c>
      <c r="C9" s="57">
        <v>1</v>
      </c>
      <c r="E9" s="156" t="s">
        <v>54</v>
      </c>
      <c r="F9" s="157"/>
      <c r="H9" s="3" t="s">
        <v>133</v>
      </c>
      <c r="I9" s="44"/>
      <c r="J9" s="1"/>
      <c r="K9" s="1"/>
      <c r="M9" s="25"/>
      <c r="N9" s="1"/>
    </row>
    <row r="10" spans="2:16" x14ac:dyDescent="0.35">
      <c r="B10" s="144" t="s">
        <v>46</v>
      </c>
      <c r="C10" s="145"/>
      <c r="D10" s="1"/>
      <c r="E10" s="16" t="s">
        <v>55</v>
      </c>
      <c r="F10" s="51" t="s">
        <v>203</v>
      </c>
      <c r="G10" s="1"/>
      <c r="H10" s="17" t="s">
        <v>221</v>
      </c>
      <c r="I10" s="44"/>
      <c r="J10" s="1"/>
      <c r="K10" s="161" t="s">
        <v>138</v>
      </c>
      <c r="L10" s="161"/>
      <c r="M10" s="161"/>
      <c r="N10" s="1"/>
    </row>
    <row r="11" spans="2:16" ht="15" thickBot="1" x14ac:dyDescent="0.4">
      <c r="B11" s="5" t="s">
        <v>43</v>
      </c>
      <c r="C11" s="51">
        <v>0</v>
      </c>
      <c r="D11" s="1"/>
      <c r="E11" s="17" t="s">
        <v>56</v>
      </c>
      <c r="F11" s="51" t="s">
        <v>203</v>
      </c>
      <c r="H11" s="17" t="s">
        <v>222</v>
      </c>
      <c r="I11" s="44"/>
      <c r="J11" s="1"/>
      <c r="K11" s="161" t="s">
        <v>137</v>
      </c>
      <c r="L11" s="161"/>
      <c r="M11" s="161"/>
      <c r="N11" s="1"/>
    </row>
    <row r="12" spans="2:16" x14ac:dyDescent="0.35">
      <c r="B12" s="3" t="s">
        <v>44</v>
      </c>
      <c r="C12" s="51">
        <v>31</v>
      </c>
      <c r="E12" s="17" t="s">
        <v>57</v>
      </c>
      <c r="F12" s="51" t="s">
        <v>203</v>
      </c>
      <c r="H12" s="42" t="s">
        <v>134</v>
      </c>
      <c r="I12" s="65"/>
      <c r="J12" s="1"/>
      <c r="K12" s="161" t="s">
        <v>139</v>
      </c>
      <c r="L12" s="161"/>
      <c r="M12" s="161"/>
    </row>
    <row r="13" spans="2:16" ht="15" thickBot="1" x14ac:dyDescent="0.4">
      <c r="B13" s="3" t="s">
        <v>42</v>
      </c>
      <c r="C13" s="51">
        <v>1</v>
      </c>
      <c r="E13" s="18" t="s">
        <v>58</v>
      </c>
      <c r="F13" s="52" t="s">
        <v>203</v>
      </c>
      <c r="H13" s="4" t="s">
        <v>135</v>
      </c>
      <c r="I13" s="66"/>
      <c r="J13" s="1"/>
      <c r="K13" s="135" t="s">
        <v>140</v>
      </c>
      <c r="L13" s="135"/>
      <c r="M13" s="135"/>
    </row>
    <row r="14" spans="2:16" ht="15" thickBot="1" x14ac:dyDescent="0.4">
      <c r="B14" s="3" t="s">
        <v>45</v>
      </c>
      <c r="C14" s="51">
        <v>1</v>
      </c>
      <c r="D14" s="1"/>
      <c r="E14" s="1"/>
      <c r="F14" s="10"/>
      <c r="H14" s="1"/>
      <c r="I14" s="1"/>
      <c r="J14" s="1"/>
      <c r="L14" s="1"/>
    </row>
    <row r="15" spans="2:16" x14ac:dyDescent="0.35">
      <c r="B15" s="77" t="s">
        <v>50</v>
      </c>
      <c r="C15" s="76" t="s">
        <v>204</v>
      </c>
      <c r="E15" s="136"/>
      <c r="F15" s="137"/>
      <c r="H15" s="136"/>
      <c r="I15" s="137"/>
      <c r="L15" s="1"/>
      <c r="N15" s="1"/>
    </row>
    <row r="16" spans="2:16" ht="15" thickBot="1" x14ac:dyDescent="0.4">
      <c r="B16" s="4" t="s">
        <v>49</v>
      </c>
      <c r="C16" s="78" t="s">
        <v>204</v>
      </c>
      <c r="E16" s="140"/>
      <c r="F16" s="141"/>
      <c r="H16" s="140"/>
      <c r="I16" s="141"/>
    </row>
    <row r="17" spans="1:14" x14ac:dyDescent="0.35">
      <c r="A17" s="1"/>
      <c r="B17" s="14"/>
      <c r="C17" s="14"/>
      <c r="G17" s="1"/>
    </row>
    <row r="18" spans="1:14" x14ac:dyDescent="0.35">
      <c r="A18" s="1"/>
      <c r="B18" s="1"/>
      <c r="C18" s="19"/>
      <c r="D18" s="43"/>
      <c r="K18" s="1"/>
    </row>
    <row r="19" spans="1:14" x14ac:dyDescent="0.35">
      <c r="A19" s="1"/>
      <c r="B19" s="1"/>
      <c r="C19" s="19"/>
    </row>
    <row r="20" spans="1:14" x14ac:dyDescent="0.35">
      <c r="A20" s="1"/>
      <c r="B20" s="1"/>
      <c r="C20" s="19"/>
    </row>
    <row r="21" spans="1:14" x14ac:dyDescent="0.35">
      <c r="A21" s="1"/>
      <c r="C21" s="1"/>
    </row>
    <row r="22" spans="1:14" ht="15" thickBot="1" x14ac:dyDescent="0.4">
      <c r="C22" s="37"/>
      <c r="D22" s="37"/>
      <c r="E22" s="37"/>
      <c r="F22" s="37"/>
      <c r="G22" s="37"/>
      <c r="H22" s="37"/>
      <c r="I22" s="37"/>
      <c r="J22" s="37"/>
      <c r="K22" s="37"/>
      <c r="L22" s="37"/>
    </row>
    <row r="23" spans="1:14" ht="14.4" customHeight="1" x14ac:dyDescent="0.35">
      <c r="B23" s="148"/>
      <c r="C23" s="149"/>
      <c r="D23" s="149"/>
      <c r="E23" s="149"/>
      <c r="F23" s="149"/>
      <c r="G23" s="149"/>
      <c r="H23" s="149"/>
      <c r="I23" s="149"/>
      <c r="J23" s="149"/>
      <c r="K23" s="149"/>
      <c r="L23" s="150"/>
      <c r="M23" s="11"/>
      <c r="N23" s="12"/>
    </row>
    <row r="24" spans="1:14" ht="13.5" customHeight="1" thickBot="1" x14ac:dyDescent="0.4">
      <c r="B24" s="151"/>
      <c r="C24" s="152"/>
      <c r="D24" s="152"/>
      <c r="E24" s="152"/>
      <c r="F24" s="152"/>
      <c r="G24" s="152"/>
      <c r="H24" s="152"/>
      <c r="I24" s="152"/>
      <c r="J24" s="152"/>
      <c r="K24" s="152"/>
      <c r="L24" s="153"/>
      <c r="M24" s="11"/>
      <c r="N24" s="1"/>
    </row>
    <row r="25" spans="1:14" ht="15" thickBot="1" x14ac:dyDescent="0.4">
      <c r="B25" s="45" t="s">
        <v>39</v>
      </c>
      <c r="C25" s="46" t="s">
        <v>36</v>
      </c>
      <c r="D25" s="47" t="s">
        <v>35</v>
      </c>
      <c r="E25" s="48" t="s">
        <v>34</v>
      </c>
      <c r="F25" s="48" t="s">
        <v>33</v>
      </c>
      <c r="G25" s="48" t="s">
        <v>32</v>
      </c>
      <c r="H25" s="48" t="s">
        <v>28</v>
      </c>
      <c r="I25" s="48" t="s">
        <v>31</v>
      </c>
      <c r="J25" s="48" t="s">
        <v>30</v>
      </c>
      <c r="K25" s="49" t="s">
        <v>29</v>
      </c>
      <c r="L25" s="50" t="s">
        <v>47</v>
      </c>
      <c r="M25" s="13"/>
      <c r="N25" s="1"/>
    </row>
    <row r="26" spans="1:14" x14ac:dyDescent="0.35">
      <c r="B26" s="8" t="s">
        <v>0</v>
      </c>
      <c r="C26" s="30"/>
      <c r="D26" s="31"/>
      <c r="E26" s="60"/>
      <c r="F26" s="31"/>
      <c r="G26" s="31"/>
      <c r="H26" s="32"/>
      <c r="I26" s="31"/>
      <c r="J26" s="31"/>
      <c r="K26" s="31"/>
      <c r="L26" s="29"/>
      <c r="M26" s="1"/>
      <c r="N26" s="1"/>
    </row>
    <row r="27" spans="1:14" x14ac:dyDescent="0.35">
      <c r="B27" s="2" t="s">
        <v>1</v>
      </c>
      <c r="C27" s="27"/>
      <c r="D27" s="28"/>
      <c r="E27" s="28"/>
      <c r="F27" s="28"/>
      <c r="G27" s="28"/>
      <c r="H27" s="28"/>
      <c r="I27" s="28"/>
      <c r="J27" s="28"/>
      <c r="K27" s="28"/>
      <c r="L27" s="29"/>
      <c r="M27" s="1"/>
    </row>
    <row r="28" spans="1:14" x14ac:dyDescent="0.35">
      <c r="B28" s="2" t="s">
        <v>2</v>
      </c>
      <c r="C28" s="27"/>
      <c r="D28" s="28"/>
      <c r="E28" s="28"/>
      <c r="F28" s="28"/>
      <c r="G28" s="28"/>
      <c r="H28" s="28"/>
      <c r="I28" s="28"/>
      <c r="J28" s="28"/>
      <c r="K28" s="28"/>
      <c r="L28" s="29"/>
      <c r="M28" s="1"/>
    </row>
    <row r="29" spans="1:14" x14ac:dyDescent="0.35">
      <c r="B29" s="2" t="s">
        <v>3</v>
      </c>
      <c r="C29" s="27"/>
      <c r="D29" s="28"/>
      <c r="E29" s="28"/>
      <c r="F29" s="28"/>
      <c r="G29" s="28"/>
      <c r="H29" s="28"/>
      <c r="I29" s="28"/>
      <c r="J29" s="28"/>
      <c r="K29" s="28"/>
      <c r="L29" s="29"/>
      <c r="M29" s="1"/>
    </row>
    <row r="30" spans="1:14" x14ac:dyDescent="0.35">
      <c r="B30" s="2" t="s">
        <v>4</v>
      </c>
      <c r="C30" s="27"/>
      <c r="D30" s="28"/>
      <c r="E30" s="61"/>
      <c r="F30" s="28"/>
      <c r="G30" s="28"/>
      <c r="H30" s="28"/>
      <c r="I30" s="28"/>
      <c r="J30" s="28"/>
      <c r="K30" s="28"/>
      <c r="L30" s="29"/>
      <c r="M30" s="1"/>
    </row>
    <row r="31" spans="1:14" x14ac:dyDescent="0.35">
      <c r="B31" s="2" t="s">
        <v>5</v>
      </c>
      <c r="C31" s="27"/>
      <c r="D31" s="28"/>
      <c r="E31" s="28"/>
      <c r="F31" s="28"/>
      <c r="G31" s="28"/>
      <c r="H31" s="28"/>
      <c r="I31" s="28"/>
      <c r="J31" s="28"/>
      <c r="K31" s="28"/>
      <c r="L31" s="29"/>
      <c r="M31" s="1"/>
    </row>
    <row r="32" spans="1:14" x14ac:dyDescent="0.35">
      <c r="B32" s="2" t="s">
        <v>6</v>
      </c>
      <c r="C32" s="27"/>
      <c r="D32" s="28"/>
      <c r="E32" s="28"/>
      <c r="F32" s="28"/>
      <c r="G32" s="28"/>
      <c r="H32" s="28"/>
      <c r="I32" s="28"/>
      <c r="J32" s="28"/>
      <c r="K32" s="28"/>
      <c r="L32" s="29"/>
      <c r="M32" s="1"/>
    </row>
    <row r="33" spans="1:13" x14ac:dyDescent="0.35">
      <c r="B33" s="2" t="s">
        <v>7</v>
      </c>
      <c r="C33" s="27"/>
      <c r="D33" s="28"/>
      <c r="E33" s="28"/>
      <c r="F33" s="28"/>
      <c r="G33" s="28"/>
      <c r="H33" s="28"/>
      <c r="I33" s="28"/>
      <c r="J33" s="28"/>
      <c r="K33" s="28"/>
      <c r="L33" s="29"/>
      <c r="M33" s="62"/>
    </row>
    <row r="34" spans="1:13" x14ac:dyDescent="0.35">
      <c r="B34" s="2" t="s">
        <v>8</v>
      </c>
      <c r="C34" s="27"/>
      <c r="D34" s="28"/>
      <c r="E34" s="28"/>
      <c r="F34" s="28"/>
      <c r="G34" s="28"/>
      <c r="H34" s="28"/>
      <c r="I34" s="28"/>
      <c r="J34" s="28"/>
      <c r="K34" s="28"/>
      <c r="L34" s="29"/>
      <c r="M34" s="1"/>
    </row>
    <row r="35" spans="1:13" x14ac:dyDescent="0.35">
      <c r="A35" s="37"/>
      <c r="B35" s="2" t="s">
        <v>9</v>
      </c>
      <c r="C35" s="27"/>
      <c r="D35" s="28"/>
      <c r="E35" s="28"/>
      <c r="F35" s="28"/>
      <c r="G35" s="28"/>
      <c r="H35" s="28"/>
      <c r="I35" s="28"/>
      <c r="J35" s="28"/>
      <c r="K35" s="28"/>
      <c r="L35" s="29"/>
      <c r="M35" s="1"/>
    </row>
    <row r="36" spans="1:13" x14ac:dyDescent="0.35">
      <c r="B36" s="2" t="s">
        <v>10</v>
      </c>
      <c r="C36" s="27"/>
      <c r="D36" s="28"/>
      <c r="E36" s="28"/>
      <c r="F36" s="28"/>
      <c r="G36" s="28"/>
      <c r="H36" s="28"/>
      <c r="I36" s="28"/>
      <c r="J36" s="28"/>
      <c r="K36" s="28"/>
      <c r="L36" s="29"/>
      <c r="M36" s="1"/>
    </row>
    <row r="37" spans="1:13" x14ac:dyDescent="0.35">
      <c r="B37" s="2" t="s">
        <v>11</v>
      </c>
      <c r="C37" s="27"/>
      <c r="D37" s="28"/>
      <c r="E37" s="28"/>
      <c r="F37" s="28"/>
      <c r="G37" s="28"/>
      <c r="H37" s="28"/>
      <c r="I37" s="28"/>
      <c r="J37" s="28"/>
      <c r="K37" s="28"/>
      <c r="L37" s="29"/>
      <c r="M37" s="1"/>
    </row>
    <row r="38" spans="1:13" x14ac:dyDescent="0.35">
      <c r="B38" s="2" t="s">
        <v>12</v>
      </c>
      <c r="C38" s="27"/>
      <c r="D38" s="28"/>
      <c r="E38" s="28"/>
      <c r="F38" s="28"/>
      <c r="G38" s="28"/>
      <c r="H38" s="28"/>
      <c r="I38" s="28"/>
      <c r="J38" s="28"/>
      <c r="K38" s="28"/>
      <c r="L38" s="29"/>
      <c r="M38" s="62"/>
    </row>
    <row r="39" spans="1:13" x14ac:dyDescent="0.35">
      <c r="B39" s="2" t="s">
        <v>13</v>
      </c>
      <c r="C39" s="27"/>
      <c r="D39" s="28"/>
      <c r="E39" s="28"/>
      <c r="F39" s="28"/>
      <c r="G39" s="28"/>
      <c r="H39" s="28"/>
      <c r="I39" s="28"/>
      <c r="J39" s="28"/>
      <c r="K39" s="28"/>
      <c r="L39" s="29"/>
      <c r="M39" s="1"/>
    </row>
    <row r="40" spans="1:13" x14ac:dyDescent="0.35">
      <c r="B40" s="2" t="s">
        <v>14</v>
      </c>
      <c r="C40" s="27"/>
      <c r="D40" s="28"/>
      <c r="E40" s="28"/>
      <c r="F40" s="28"/>
      <c r="G40" s="28"/>
      <c r="H40" s="28"/>
      <c r="I40" s="28"/>
      <c r="J40" s="28"/>
      <c r="K40" s="28"/>
      <c r="L40" s="29"/>
      <c r="M40" s="1"/>
    </row>
    <row r="41" spans="1:13" x14ac:dyDescent="0.35">
      <c r="B41" s="2" t="s">
        <v>15</v>
      </c>
      <c r="C41" s="27"/>
      <c r="D41" s="28"/>
      <c r="E41" s="28"/>
      <c r="F41" s="28"/>
      <c r="G41" s="28"/>
      <c r="H41" s="28"/>
      <c r="I41" s="28"/>
      <c r="J41" s="28"/>
      <c r="K41" s="28"/>
      <c r="L41" s="29"/>
      <c r="M41" s="1"/>
    </row>
    <row r="42" spans="1:13" x14ac:dyDescent="0.35">
      <c r="B42" s="2" t="s">
        <v>16</v>
      </c>
      <c r="C42" s="27"/>
      <c r="D42" s="28"/>
      <c r="E42" s="28"/>
      <c r="F42" s="28"/>
      <c r="G42" s="28"/>
      <c r="H42" s="28"/>
      <c r="I42" s="28"/>
      <c r="J42" s="28"/>
      <c r="K42" s="28"/>
      <c r="L42" s="29"/>
      <c r="M42" s="1"/>
    </row>
    <row r="43" spans="1:13" x14ac:dyDescent="0.35">
      <c r="B43" s="2" t="s">
        <v>17</v>
      </c>
      <c r="C43" s="27"/>
      <c r="D43" s="28"/>
      <c r="E43" s="28"/>
      <c r="F43" s="28"/>
      <c r="G43" s="28"/>
      <c r="H43" s="28"/>
      <c r="I43" s="28"/>
      <c r="J43" s="28"/>
      <c r="K43" s="28"/>
      <c r="L43" s="29"/>
      <c r="M43" s="1"/>
    </row>
    <row r="44" spans="1:13" x14ac:dyDescent="0.35">
      <c r="B44" s="2" t="s">
        <v>18</v>
      </c>
      <c r="C44" s="27"/>
      <c r="D44" s="28"/>
      <c r="E44" s="28"/>
      <c r="F44" s="28"/>
      <c r="G44" s="28"/>
      <c r="H44" s="28"/>
      <c r="I44" s="28"/>
      <c r="J44" s="28"/>
      <c r="K44" s="28"/>
      <c r="L44" s="29"/>
      <c r="M44" s="1"/>
    </row>
    <row r="45" spans="1:13" x14ac:dyDescent="0.35">
      <c r="B45" s="2" t="s">
        <v>19</v>
      </c>
      <c r="C45" s="27"/>
      <c r="D45" s="28"/>
      <c r="E45" s="28"/>
      <c r="F45" s="28"/>
      <c r="G45" s="28"/>
      <c r="H45" s="28"/>
      <c r="I45" s="28"/>
      <c r="J45" s="28"/>
      <c r="K45" s="28"/>
      <c r="L45" s="29"/>
      <c r="M45" s="1"/>
    </row>
    <row r="46" spans="1:13" x14ac:dyDescent="0.35">
      <c r="B46" s="2" t="s">
        <v>20</v>
      </c>
      <c r="C46" s="27"/>
      <c r="D46" s="28"/>
      <c r="E46" s="28"/>
      <c r="F46" s="28"/>
      <c r="G46" s="28"/>
      <c r="H46" s="28"/>
      <c r="I46" s="28"/>
      <c r="J46" s="28"/>
      <c r="K46" s="28"/>
      <c r="L46" s="29"/>
      <c r="M46" s="1"/>
    </row>
    <row r="47" spans="1:13" x14ac:dyDescent="0.35">
      <c r="B47" s="2" t="s">
        <v>21</v>
      </c>
      <c r="C47" s="27"/>
      <c r="D47" s="28"/>
      <c r="E47" s="28"/>
      <c r="F47" s="28"/>
      <c r="G47" s="28"/>
      <c r="H47" s="28"/>
      <c r="I47" s="28"/>
      <c r="J47" s="28"/>
      <c r="K47" s="28"/>
      <c r="L47" s="29"/>
      <c r="M47" s="1"/>
    </row>
    <row r="48" spans="1:13" x14ac:dyDescent="0.35">
      <c r="B48" s="2" t="s">
        <v>22</v>
      </c>
      <c r="C48" s="21"/>
      <c r="D48" s="22"/>
      <c r="E48" s="22"/>
      <c r="F48" s="22"/>
      <c r="G48" s="22"/>
      <c r="H48" s="22"/>
      <c r="I48" s="22"/>
      <c r="J48" s="22"/>
      <c r="K48" s="22"/>
      <c r="L48" s="20"/>
      <c r="M48" s="1"/>
    </row>
    <row r="49" spans="2:13" x14ac:dyDescent="0.35">
      <c r="B49" s="2" t="s">
        <v>111</v>
      </c>
      <c r="C49" s="21"/>
      <c r="D49" s="22"/>
      <c r="E49" s="22"/>
      <c r="F49" s="22"/>
      <c r="G49" s="22"/>
      <c r="H49" s="22"/>
      <c r="I49" s="22"/>
      <c r="J49" s="22"/>
      <c r="K49" s="22"/>
      <c r="L49" s="20"/>
      <c r="M49" s="1"/>
    </row>
    <row r="50" spans="2:13" x14ac:dyDescent="0.35">
      <c r="B50" s="2" t="s">
        <v>112</v>
      </c>
      <c r="C50" s="21"/>
      <c r="D50" s="22"/>
      <c r="E50" s="22"/>
      <c r="F50" s="22"/>
      <c r="G50" s="22"/>
      <c r="H50" s="22"/>
      <c r="I50" s="22"/>
      <c r="J50" s="22"/>
      <c r="K50" s="22"/>
      <c r="L50" s="20"/>
      <c r="M50" s="1"/>
    </row>
    <row r="51" spans="2:13" x14ac:dyDescent="0.35">
      <c r="B51" s="2" t="s">
        <v>23</v>
      </c>
      <c r="C51" s="27"/>
      <c r="D51" s="28"/>
      <c r="E51" s="28"/>
      <c r="F51" s="28"/>
      <c r="G51" s="28"/>
      <c r="H51" s="28"/>
      <c r="I51" s="28"/>
      <c r="J51" s="28"/>
      <c r="K51" s="28"/>
      <c r="L51" s="29"/>
      <c r="M51" s="1"/>
    </row>
    <row r="52" spans="2:13" x14ac:dyDescent="0.35">
      <c r="B52" s="2" t="s">
        <v>24</v>
      </c>
      <c r="C52" s="27"/>
      <c r="D52" s="28"/>
      <c r="E52" s="28"/>
      <c r="F52" s="28"/>
      <c r="G52" s="28"/>
      <c r="H52" s="28"/>
      <c r="I52" s="28"/>
      <c r="J52" s="28"/>
      <c r="K52" s="28"/>
      <c r="L52" s="29"/>
      <c r="M52" s="1"/>
    </row>
    <row r="53" spans="2:13" ht="15" thickBot="1" x14ac:dyDescent="0.4">
      <c r="B53" s="7" t="s">
        <v>25</v>
      </c>
      <c r="C53" s="33"/>
      <c r="D53" s="34"/>
      <c r="E53" s="35"/>
      <c r="F53" s="35"/>
      <c r="G53" s="34"/>
      <c r="H53" s="35"/>
      <c r="I53" s="35"/>
      <c r="J53" s="35"/>
      <c r="K53" s="35"/>
      <c r="L53" s="36"/>
      <c r="M53" s="1"/>
    </row>
    <row r="54" spans="2:13" ht="15" thickBot="1" x14ac:dyDescent="0.4">
      <c r="B54" s="23" t="s">
        <v>27</v>
      </c>
      <c r="C54" s="70" t="s">
        <v>38</v>
      </c>
      <c r="D54" s="56" t="s">
        <v>38</v>
      </c>
      <c r="E54" s="71" t="s">
        <v>38</v>
      </c>
      <c r="F54" s="71" t="s">
        <v>38</v>
      </c>
      <c r="G54" s="71" t="s">
        <v>38</v>
      </c>
      <c r="H54" s="71" t="s">
        <v>38</v>
      </c>
      <c r="I54" s="71" t="s">
        <v>38</v>
      </c>
      <c r="J54" s="71" t="s">
        <v>38</v>
      </c>
      <c r="K54" s="71" t="s">
        <v>38</v>
      </c>
      <c r="L54" s="72" t="s">
        <v>38</v>
      </c>
      <c r="M54" s="14"/>
    </row>
    <row r="55" spans="2:13" ht="15" thickBot="1" x14ac:dyDescent="0.4">
      <c r="M55" s="1"/>
    </row>
    <row r="56" spans="2:13" x14ac:dyDescent="0.35">
      <c r="F56" s="136"/>
      <c r="G56" s="137"/>
      <c r="L56" s="1"/>
      <c r="M56" s="1"/>
    </row>
    <row r="57" spans="2:13" x14ac:dyDescent="0.35">
      <c r="F57" s="138"/>
      <c r="G57" s="139"/>
      <c r="L57" s="1"/>
    </row>
    <row r="58" spans="2:13" ht="15" thickBot="1" x14ac:dyDescent="0.4">
      <c r="F58" s="140"/>
      <c r="G58" s="141"/>
    </row>
    <row r="64" spans="2:13" x14ac:dyDescent="0.35">
      <c r="M64" s="10"/>
    </row>
  </sheetData>
  <mergeCells count="17">
    <mergeCell ref="K12:M12"/>
    <mergeCell ref="K13:M13"/>
    <mergeCell ref="F56:G58"/>
    <mergeCell ref="B3:C3"/>
    <mergeCell ref="B6:C6"/>
    <mergeCell ref="B10:C10"/>
    <mergeCell ref="H3:I3"/>
    <mergeCell ref="B23:L24"/>
    <mergeCell ref="E3:F3"/>
    <mergeCell ref="E9:F9"/>
    <mergeCell ref="H7:I7"/>
    <mergeCell ref="E5:F5"/>
    <mergeCell ref="E15:F16"/>
    <mergeCell ref="H15:I16"/>
    <mergeCell ref="K2:P3"/>
    <mergeCell ref="K10:M10"/>
    <mergeCell ref="K11:M11"/>
  </mergeCells>
  <dataValidations count="8">
    <dataValidation type="list" allowBlank="1" showInputMessage="1" showErrorMessage="1" sqref="C4">
      <formula1>"OSC_CLOCK,SYSCLK,BACKUP_CLOCK"</formula1>
    </dataValidation>
    <dataValidation type="list" showInputMessage="1" showErrorMessage="1" sqref="C16">
      <formula1>"NOT_BYPASSED_SEL0,BYPASSED_SEL1"</formula1>
    </dataValidation>
    <dataValidation type="list" showInputMessage="1" showErrorMessage="1" sqref="F6:F8">
      <formula1>"ENABLE,DISABLE"</formula1>
    </dataValidation>
    <dataValidation type="list" showInputMessage="1" showErrorMessage="1" sqref="F13 F10">
      <formula1>"DISABLE_SEL0,Fpll1_SEL1,Fpll2_SEL2"</formula1>
    </dataValidation>
    <dataValidation type="list" showInputMessage="1" showErrorMessage="1" sqref="F4">
      <formula1>"BACKUP_SEL0,PLL_SEL1"</formula1>
    </dataValidation>
    <dataValidation type="list" showInputMessage="1" showErrorMessage="1" sqref="F11:F12">
      <formula1>"DISABLE_SEL0,Fpll1_SEL1,OSC_SEL2"</formula1>
    </dataValidation>
    <dataValidation type="list" allowBlank="1" showInputMessage="1" showErrorMessage="1" sqref="C2">
      <formula1>"TC322,TC323,TC324,TC327,TC332,TC333,TC334,TC336,TC336_ED_ADAS,TC337,TC337_ED_ADAS,TC356_ADAS,TC357_ADAS,TC364_LQFP,TC364_TQFP,TC365,TC366,TC367,TC374_ED,TC375,TC375_ED,TC377,TC377_ED,TC377_ED_EX,TC387,TC389,TC397,TC397_ADAS,TC399,TC3E7"</formula1>
    </dataValidation>
    <dataValidation type="list" allowBlank="1" showInputMessage="1" showErrorMessage="1" sqref="C15">
      <formula1>"NOT_BYPASSED_SEL0,BYPASSED_SEL1"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_xludf.clear">
                <anchor moveWithCells="1" sizeWithCells="1">
                  <from>
                    <xdr:col>7</xdr:col>
                    <xdr:colOff>571500</xdr:colOff>
                    <xdr:row>14</xdr:row>
                    <xdr:rowOff>50800</xdr:rowOff>
                  </from>
                  <to>
                    <xdr:col>8</xdr:col>
                    <xdr:colOff>615950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lculate">
                <anchor moveWithCells="1">
                  <from>
                    <xdr:col>4</xdr:col>
                    <xdr:colOff>546100</xdr:colOff>
                    <xdr:row>14</xdr:row>
                    <xdr:rowOff>44450</xdr:rowOff>
                  </from>
                  <to>
                    <xdr:col>5</xdr:col>
                    <xdr:colOff>444500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utton9_Click">
                <anchor moveWithCells="1">
                  <from>
                    <xdr:col>5</xdr:col>
                    <xdr:colOff>349250</xdr:colOff>
                    <xdr:row>55</xdr:row>
                    <xdr:rowOff>69850</xdr:rowOff>
                  </from>
                  <to>
                    <xdr:col>6</xdr:col>
                    <xdr:colOff>717550</xdr:colOff>
                    <xdr:row>57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B3:Z67"/>
  <sheetViews>
    <sheetView workbookViewId="0">
      <selection activeCell="C67" sqref="C67"/>
    </sheetView>
  </sheetViews>
  <sheetFormatPr defaultColWidth="35.6328125" defaultRowHeight="14.5" x14ac:dyDescent="0.35"/>
  <cols>
    <col min="2" max="2" width="37.36328125" bestFit="1" customWidth="1"/>
  </cols>
  <sheetData>
    <row r="3" spans="2:26" ht="15" thickBot="1" x14ac:dyDescent="0.4">
      <c r="Z3" s="41">
        <v>0</v>
      </c>
    </row>
    <row r="4" spans="2:26" x14ac:dyDescent="0.35">
      <c r="B4" s="162" t="s">
        <v>61</v>
      </c>
      <c r="C4" s="163"/>
    </row>
    <row r="5" spans="2:26" x14ac:dyDescent="0.35">
      <c r="B5" s="3" t="s">
        <v>60</v>
      </c>
      <c r="C5" s="20"/>
    </row>
    <row r="6" spans="2:26" x14ac:dyDescent="0.35">
      <c r="B6" s="3" t="s">
        <v>113</v>
      </c>
      <c r="C6" s="20"/>
    </row>
    <row r="7" spans="2:26" x14ac:dyDescent="0.35">
      <c r="B7" s="3" t="s">
        <v>114</v>
      </c>
      <c r="C7" s="20"/>
    </row>
    <row r="8" spans="2:26" x14ac:dyDescent="0.35">
      <c r="B8" s="3" t="s">
        <v>115</v>
      </c>
      <c r="C8" s="20"/>
    </row>
    <row r="9" spans="2:26" x14ac:dyDescent="0.35">
      <c r="B9" s="3" t="s">
        <v>116</v>
      </c>
      <c r="C9" s="39">
        <v>10</v>
      </c>
    </row>
    <row r="10" spans="2:26" x14ac:dyDescent="0.35">
      <c r="B10" s="3" t="s">
        <v>117</v>
      </c>
      <c r="C10" s="39">
        <v>10</v>
      </c>
    </row>
    <row r="11" spans="2:26" x14ac:dyDescent="0.35">
      <c r="B11" s="3" t="s">
        <v>118</v>
      </c>
      <c r="C11" s="68" t="s">
        <v>144</v>
      </c>
    </row>
    <row r="12" spans="2:26" x14ac:dyDescent="0.35">
      <c r="B12" s="3" t="s">
        <v>119</v>
      </c>
      <c r="C12" s="39">
        <v>1.25</v>
      </c>
    </row>
    <row r="13" spans="2:26" x14ac:dyDescent="0.35">
      <c r="B13" s="3" t="s">
        <v>120</v>
      </c>
      <c r="C13" s="64"/>
      <c r="E13" s="38"/>
    </row>
    <row r="14" spans="2:26" x14ac:dyDescent="0.35">
      <c r="B14" s="166" t="s">
        <v>121</v>
      </c>
      <c r="C14" s="167"/>
    </row>
    <row r="15" spans="2:26" x14ac:dyDescent="0.35">
      <c r="B15" s="3" t="s">
        <v>122</v>
      </c>
      <c r="C15" s="20"/>
    </row>
    <row r="16" spans="2:26" x14ac:dyDescent="0.35">
      <c r="B16" s="3" t="s">
        <v>123</v>
      </c>
      <c r="C16" s="20"/>
    </row>
    <row r="17" spans="2:3" x14ac:dyDescent="0.35">
      <c r="B17" s="3" t="s">
        <v>62</v>
      </c>
      <c r="C17" s="20"/>
    </row>
    <row r="18" spans="2:3" x14ac:dyDescent="0.35">
      <c r="B18" s="3" t="s">
        <v>63</v>
      </c>
      <c r="C18" s="39">
        <v>10</v>
      </c>
    </row>
    <row r="19" spans="2:3" x14ac:dyDescent="0.35">
      <c r="B19" s="3" t="s">
        <v>64</v>
      </c>
      <c r="C19" s="39">
        <v>10</v>
      </c>
    </row>
    <row r="20" spans="2:3" x14ac:dyDescent="0.35">
      <c r="B20" s="3" t="s">
        <v>65</v>
      </c>
      <c r="C20" s="20"/>
    </row>
    <row r="21" spans="2:3" x14ac:dyDescent="0.35">
      <c r="B21" s="3" t="s">
        <v>66</v>
      </c>
      <c r="C21" s="39">
        <v>10</v>
      </c>
    </row>
    <row r="22" spans="2:3" x14ac:dyDescent="0.35">
      <c r="B22" s="3" t="s">
        <v>67</v>
      </c>
      <c r="C22" s="39">
        <v>10</v>
      </c>
    </row>
    <row r="23" spans="2:3" x14ac:dyDescent="0.35">
      <c r="B23" s="3" t="s">
        <v>50</v>
      </c>
      <c r="C23" s="20"/>
    </row>
    <row r="24" spans="2:3" x14ac:dyDescent="0.35">
      <c r="B24" s="3" t="s">
        <v>68</v>
      </c>
      <c r="C24" s="20"/>
    </row>
    <row r="25" spans="2:3" x14ac:dyDescent="0.35">
      <c r="B25" s="3" t="s">
        <v>69</v>
      </c>
      <c r="C25" s="64"/>
    </row>
    <row r="26" spans="2:3" x14ac:dyDescent="0.35">
      <c r="B26" s="3" t="s">
        <v>70</v>
      </c>
      <c r="C26" s="64"/>
    </row>
    <row r="27" spans="2:3" x14ac:dyDescent="0.35">
      <c r="B27" s="164" t="s">
        <v>71</v>
      </c>
      <c r="C27" s="165"/>
    </row>
    <row r="28" spans="2:3" x14ac:dyDescent="0.35">
      <c r="B28" s="3" t="s">
        <v>72</v>
      </c>
      <c r="C28" s="20"/>
    </row>
    <row r="29" spans="2:3" x14ac:dyDescent="0.35">
      <c r="B29" s="3" t="s">
        <v>73</v>
      </c>
      <c r="C29" s="39" t="s">
        <v>124</v>
      </c>
    </row>
    <row r="30" spans="2:3" x14ac:dyDescent="0.35">
      <c r="B30" s="3" t="s">
        <v>74</v>
      </c>
      <c r="C30" s="58"/>
    </row>
    <row r="31" spans="2:3" x14ac:dyDescent="0.35">
      <c r="B31" s="3" t="s">
        <v>75</v>
      </c>
      <c r="C31" s="58"/>
    </row>
    <row r="32" spans="2:3" x14ac:dyDescent="0.35">
      <c r="B32" s="3" t="s">
        <v>76</v>
      </c>
      <c r="C32" s="58"/>
    </row>
    <row r="33" spans="2:3" x14ac:dyDescent="0.35">
      <c r="B33" s="3" t="s">
        <v>77</v>
      </c>
      <c r="C33" s="58"/>
    </row>
    <row r="34" spans="2:3" x14ac:dyDescent="0.35">
      <c r="B34" s="3" t="s">
        <v>78</v>
      </c>
      <c r="C34" s="58"/>
    </row>
    <row r="35" spans="2:3" x14ac:dyDescent="0.35">
      <c r="B35" s="3" t="s">
        <v>79</v>
      </c>
      <c r="C35" s="58"/>
    </row>
    <row r="36" spans="2:3" x14ac:dyDescent="0.35">
      <c r="B36" s="3" t="s">
        <v>80</v>
      </c>
      <c r="C36" s="58"/>
    </row>
    <row r="37" spans="2:3" x14ac:dyDescent="0.35">
      <c r="B37" s="3" t="s">
        <v>81</v>
      </c>
      <c r="C37" s="58"/>
    </row>
    <row r="38" spans="2:3" x14ac:dyDescent="0.35">
      <c r="B38" s="3" t="s">
        <v>82</v>
      </c>
      <c r="C38" s="58"/>
    </row>
    <row r="39" spans="2:3" x14ac:dyDescent="0.35">
      <c r="B39" s="3" t="s">
        <v>83</v>
      </c>
      <c r="C39" s="58"/>
    </row>
    <row r="40" spans="2:3" x14ac:dyDescent="0.35">
      <c r="B40" s="3" t="s">
        <v>84</v>
      </c>
      <c r="C40" s="67"/>
    </row>
    <row r="41" spans="2:3" x14ac:dyDescent="0.35">
      <c r="B41" s="3" t="s">
        <v>85</v>
      </c>
      <c r="C41" s="67"/>
    </row>
    <row r="42" spans="2:3" x14ac:dyDescent="0.35">
      <c r="B42" s="3" t="s">
        <v>125</v>
      </c>
      <c r="C42" s="58"/>
    </row>
    <row r="43" spans="2:3" x14ac:dyDescent="0.35">
      <c r="B43" s="3" t="s">
        <v>86</v>
      </c>
      <c r="C43" s="40"/>
    </row>
    <row r="44" spans="2:3" x14ac:dyDescent="0.35">
      <c r="B44" s="3" t="s">
        <v>87</v>
      </c>
      <c r="C44" s="58"/>
    </row>
    <row r="45" spans="2:3" x14ac:dyDescent="0.35">
      <c r="B45" s="3" t="s">
        <v>88</v>
      </c>
      <c r="C45" s="58"/>
    </row>
    <row r="46" spans="2:3" x14ac:dyDescent="0.35">
      <c r="B46" s="3" t="s">
        <v>89</v>
      </c>
      <c r="C46" s="58"/>
    </row>
    <row r="47" spans="2:3" x14ac:dyDescent="0.35">
      <c r="B47" s="3" t="s">
        <v>110</v>
      </c>
      <c r="C47" s="20"/>
    </row>
    <row r="48" spans="2:3" x14ac:dyDescent="0.35">
      <c r="B48" s="3" t="s">
        <v>90</v>
      </c>
      <c r="C48" s="58"/>
    </row>
    <row r="49" spans="2:3" x14ac:dyDescent="0.35">
      <c r="B49" s="3" t="s">
        <v>91</v>
      </c>
      <c r="C49" s="20"/>
    </row>
    <row r="50" spans="2:3" x14ac:dyDescent="0.35">
      <c r="B50" s="3" t="s">
        <v>92</v>
      </c>
      <c r="C50" s="58"/>
    </row>
    <row r="51" spans="2:3" x14ac:dyDescent="0.35">
      <c r="B51" s="3" t="s">
        <v>93</v>
      </c>
      <c r="C51" s="58"/>
    </row>
    <row r="52" spans="2:3" x14ac:dyDescent="0.35">
      <c r="B52" s="3" t="s">
        <v>94</v>
      </c>
      <c r="C52" s="20"/>
    </row>
    <row r="53" spans="2:3" x14ac:dyDescent="0.35">
      <c r="B53" s="3" t="s">
        <v>95</v>
      </c>
      <c r="C53" s="58"/>
    </row>
    <row r="54" spans="2:3" x14ac:dyDescent="0.35">
      <c r="B54" s="3" t="s">
        <v>108</v>
      </c>
      <c r="C54" s="20"/>
    </row>
    <row r="55" spans="2:3" x14ac:dyDescent="0.35">
      <c r="B55" s="3" t="s">
        <v>96</v>
      </c>
      <c r="C55" s="58"/>
    </row>
    <row r="56" spans="2:3" x14ac:dyDescent="0.35">
      <c r="B56" s="3" t="s">
        <v>97</v>
      </c>
      <c r="C56" s="58"/>
    </row>
    <row r="57" spans="2:3" x14ac:dyDescent="0.35">
      <c r="B57" s="3" t="s">
        <v>109</v>
      </c>
      <c r="C57" s="39" t="s">
        <v>126</v>
      </c>
    </row>
    <row r="58" spans="2:3" x14ac:dyDescent="0.35">
      <c r="B58" s="3" t="s">
        <v>98</v>
      </c>
      <c r="C58" s="58"/>
    </row>
    <row r="59" spans="2:3" x14ac:dyDescent="0.35">
      <c r="B59" s="3" t="s">
        <v>99</v>
      </c>
      <c r="C59" s="20"/>
    </row>
    <row r="60" spans="2:3" x14ac:dyDescent="0.35">
      <c r="B60" s="3" t="s">
        <v>100</v>
      </c>
      <c r="C60" s="58"/>
    </row>
    <row r="61" spans="2:3" x14ac:dyDescent="0.35">
      <c r="B61" s="3" t="s">
        <v>101</v>
      </c>
      <c r="C61" s="58"/>
    </row>
    <row r="62" spans="2:3" x14ac:dyDescent="0.35">
      <c r="B62" s="3" t="s">
        <v>102</v>
      </c>
      <c r="C62" s="20"/>
    </row>
    <row r="63" spans="2:3" x14ac:dyDescent="0.35">
      <c r="B63" s="3" t="s">
        <v>103</v>
      </c>
      <c r="C63" s="58"/>
    </row>
    <row r="64" spans="2:3" x14ac:dyDescent="0.35">
      <c r="B64" s="3" t="s">
        <v>104</v>
      </c>
      <c r="C64" s="58"/>
    </row>
    <row r="65" spans="2:3" x14ac:dyDescent="0.35">
      <c r="B65" s="3" t="s">
        <v>105</v>
      </c>
      <c r="C65" s="58"/>
    </row>
    <row r="66" spans="2:3" x14ac:dyDescent="0.35">
      <c r="B66" s="3" t="s">
        <v>106</v>
      </c>
      <c r="C66" s="58"/>
    </row>
    <row r="67" spans="2:3" ht="15" thickBot="1" x14ac:dyDescent="0.4">
      <c r="B67" s="4" t="s">
        <v>107</v>
      </c>
      <c r="C67" s="59"/>
    </row>
  </sheetData>
  <mergeCells count="3">
    <mergeCell ref="B4:C4"/>
    <mergeCell ref="B27:C27"/>
    <mergeCell ref="B14:C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oback">
                <anchor moveWithCells="1">
                  <from>
                    <xdr:col>2</xdr:col>
                    <xdr:colOff>1358900</xdr:colOff>
                    <xdr:row>1</xdr:row>
                    <xdr:rowOff>38100</xdr:rowOff>
                  </from>
                  <to>
                    <xdr:col>2</xdr:col>
                    <xdr:colOff>1790700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oback">
                <anchor moveWithCells="1">
                  <from>
                    <xdr:col>2</xdr:col>
                    <xdr:colOff>1308100</xdr:colOff>
                    <xdr:row>67</xdr:row>
                    <xdr:rowOff>50800</xdr:rowOff>
                  </from>
                  <to>
                    <xdr:col>2</xdr:col>
                    <xdr:colOff>1746250</xdr:colOff>
                    <xdr:row>68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160</v>
      </c>
      <c r="C56" s="74">
        <v>1</v>
      </c>
    </row>
    <row r="57" spans="1:3" x14ac:dyDescent="0.25">
      <c r="A57" s="74" t="s">
        <v>197</v>
      </c>
      <c r="B57" s="74">
        <v>160</v>
      </c>
      <c r="C57" s="74">
        <v>0</v>
      </c>
    </row>
    <row r="58" spans="1:3" x14ac:dyDescent="0.25">
      <c r="A58" s="74" t="s">
        <v>198</v>
      </c>
      <c r="B58" s="74">
        <v>160</v>
      </c>
      <c r="C58" s="74">
        <v>0</v>
      </c>
    </row>
    <row r="59" spans="1:3" x14ac:dyDescent="0.25">
      <c r="A59" s="74" t="s">
        <v>199</v>
      </c>
      <c r="B59" s="74">
        <v>160</v>
      </c>
      <c r="C59" s="74">
        <v>0</v>
      </c>
    </row>
    <row r="60" spans="1:3" x14ac:dyDescent="0.25">
      <c r="A60" s="74" t="s">
        <v>200</v>
      </c>
      <c r="B60" s="74">
        <v>160</v>
      </c>
      <c r="C60" s="74">
        <v>0</v>
      </c>
    </row>
    <row r="61" spans="1:3" x14ac:dyDescent="0.25">
      <c r="A61" s="74" t="s">
        <v>201</v>
      </c>
      <c r="B61" s="74">
        <v>160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200</v>
      </c>
      <c r="C56" s="74">
        <v>1</v>
      </c>
    </row>
    <row r="57" spans="1:3" x14ac:dyDescent="0.25">
      <c r="A57" s="74" t="s">
        <v>197</v>
      </c>
      <c r="B57" s="74">
        <v>200</v>
      </c>
      <c r="C57" s="74">
        <v>0</v>
      </c>
    </row>
    <row r="58" spans="1:3" x14ac:dyDescent="0.25">
      <c r="A58" s="74" t="s">
        <v>198</v>
      </c>
      <c r="B58" s="74">
        <v>200</v>
      </c>
      <c r="C58" s="74">
        <v>0</v>
      </c>
    </row>
    <row r="59" spans="1:3" x14ac:dyDescent="0.25">
      <c r="A59" s="74" t="s">
        <v>199</v>
      </c>
      <c r="B59" s="74">
        <v>200</v>
      </c>
      <c r="C59" s="74">
        <v>0</v>
      </c>
    </row>
    <row r="60" spans="1:3" x14ac:dyDescent="0.25">
      <c r="A60" s="74" t="s">
        <v>200</v>
      </c>
      <c r="B60" s="74">
        <v>200</v>
      </c>
      <c r="C60" s="74">
        <v>0</v>
      </c>
    </row>
    <row r="61" spans="1:3" x14ac:dyDescent="0.25">
      <c r="A61" s="74" t="s">
        <v>201</v>
      </c>
      <c r="B61" s="74">
        <v>200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200</v>
      </c>
      <c r="C56" s="74">
        <v>1</v>
      </c>
    </row>
    <row r="57" spans="1:3" x14ac:dyDescent="0.25">
      <c r="A57" s="74" t="s">
        <v>197</v>
      </c>
      <c r="B57" s="74">
        <v>200</v>
      </c>
      <c r="C57" s="74">
        <v>0</v>
      </c>
    </row>
    <row r="58" spans="1:3" x14ac:dyDescent="0.25">
      <c r="A58" s="74" t="s">
        <v>198</v>
      </c>
      <c r="B58" s="74">
        <v>200</v>
      </c>
      <c r="C58" s="74">
        <v>0</v>
      </c>
    </row>
    <row r="59" spans="1:3" x14ac:dyDescent="0.25">
      <c r="A59" s="74" t="s">
        <v>199</v>
      </c>
      <c r="B59" s="74">
        <v>200</v>
      </c>
      <c r="C59" s="74">
        <v>0</v>
      </c>
    </row>
    <row r="60" spans="1:3" x14ac:dyDescent="0.25">
      <c r="A60" s="74" t="s">
        <v>200</v>
      </c>
      <c r="B60" s="74">
        <v>200</v>
      </c>
      <c r="C60" s="74">
        <v>0</v>
      </c>
    </row>
    <row r="61" spans="1:3" x14ac:dyDescent="0.25">
      <c r="A61" s="74" t="s">
        <v>201</v>
      </c>
      <c r="B61" s="74">
        <v>200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160</v>
      </c>
      <c r="C56" s="74">
        <v>1</v>
      </c>
    </row>
    <row r="57" spans="1:3" x14ac:dyDescent="0.25">
      <c r="A57" s="74" t="s">
        <v>197</v>
      </c>
      <c r="B57" s="74">
        <v>160</v>
      </c>
      <c r="C57" s="74">
        <v>0</v>
      </c>
    </row>
    <row r="58" spans="1:3" x14ac:dyDescent="0.25">
      <c r="A58" s="74" t="s">
        <v>198</v>
      </c>
      <c r="B58" s="74">
        <v>160</v>
      </c>
      <c r="C58" s="74">
        <v>0</v>
      </c>
    </row>
    <row r="59" spans="1:3" x14ac:dyDescent="0.25">
      <c r="A59" s="74" t="s">
        <v>199</v>
      </c>
      <c r="B59" s="74">
        <v>160</v>
      </c>
      <c r="C59" s="74">
        <v>0</v>
      </c>
    </row>
    <row r="60" spans="1:3" x14ac:dyDescent="0.25">
      <c r="A60" s="74" t="s">
        <v>200</v>
      </c>
      <c r="B60" s="74">
        <v>160</v>
      </c>
      <c r="C60" s="74">
        <v>0</v>
      </c>
    </row>
    <row r="61" spans="1:3" x14ac:dyDescent="0.25">
      <c r="A61" s="74" t="s">
        <v>201</v>
      </c>
      <c r="B61" s="74">
        <v>160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0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0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0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0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0</v>
      </c>
    </row>
    <row r="31" spans="1:12" x14ac:dyDescent="0.25">
      <c r="A31" s="74" t="s">
        <v>176</v>
      </c>
      <c r="B31" s="74">
        <v>0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0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0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0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0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0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9.9999999999999995E-7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8" x14ac:dyDescent="0.25">
      <c r="A33" s="74" t="s">
        <v>178</v>
      </c>
      <c r="B33" s="74">
        <v>6</v>
      </c>
      <c r="C33" s="74">
        <v>0</v>
      </c>
      <c r="D33" s="74">
        <v>1</v>
      </c>
      <c r="E33" s="74">
        <v>2</v>
      </c>
      <c r="F33" s="74">
        <v>3</v>
      </c>
      <c r="G33" s="74">
        <v>4</v>
      </c>
      <c r="H33" s="74">
        <v>15</v>
      </c>
    </row>
    <row r="39" spans="1:8" x14ac:dyDescent="0.25">
      <c r="A39" s="74" t="s">
        <v>179</v>
      </c>
      <c r="B39" s="74">
        <v>100</v>
      </c>
      <c r="C39" s="74">
        <v>1</v>
      </c>
    </row>
    <row r="40" spans="1:8" x14ac:dyDescent="0.25">
      <c r="A40" s="74" t="s">
        <v>180</v>
      </c>
      <c r="B40" s="74">
        <v>150</v>
      </c>
      <c r="C40" s="74">
        <v>100</v>
      </c>
    </row>
    <row r="41" spans="1:8" x14ac:dyDescent="0.25">
      <c r="A41" s="74" t="s">
        <v>181</v>
      </c>
      <c r="B41" s="74">
        <v>300</v>
      </c>
      <c r="C41" s="74">
        <v>100</v>
      </c>
    </row>
    <row r="42" spans="1:8" x14ac:dyDescent="0.25">
      <c r="A42" s="74" t="s">
        <v>182</v>
      </c>
      <c r="B42" s="74">
        <v>100</v>
      </c>
      <c r="C42" s="74">
        <v>1</v>
      </c>
    </row>
    <row r="43" spans="1:8" x14ac:dyDescent="0.25">
      <c r="A43" s="74" t="s">
        <v>183</v>
      </c>
      <c r="B43" s="74">
        <v>200</v>
      </c>
      <c r="C43" s="74">
        <v>0</v>
      </c>
    </row>
    <row r="44" spans="1:8" x14ac:dyDescent="0.25">
      <c r="A44" s="74" t="s">
        <v>184</v>
      </c>
      <c r="B44" s="74">
        <v>150</v>
      </c>
      <c r="C44" s="74">
        <v>0</v>
      </c>
    </row>
    <row r="45" spans="1:8" x14ac:dyDescent="0.25">
      <c r="A45" s="74" t="s">
        <v>185</v>
      </c>
      <c r="B45" s="74">
        <v>100</v>
      </c>
      <c r="C45" s="74">
        <v>20</v>
      </c>
    </row>
    <row r="46" spans="1:8" x14ac:dyDescent="0.25">
      <c r="A46" s="74" t="s">
        <v>186</v>
      </c>
      <c r="B46" s="74">
        <v>300</v>
      </c>
      <c r="C46" s="74">
        <v>0</v>
      </c>
    </row>
    <row r="47" spans="1:8" x14ac:dyDescent="0.25">
      <c r="A47" s="74" t="s">
        <v>187</v>
      </c>
      <c r="B47" s="74">
        <v>100</v>
      </c>
      <c r="C47" s="74">
        <v>0</v>
      </c>
    </row>
    <row r="48" spans="1:8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9.9999999999999995E-7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20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9.9999999999999995E-7</v>
      </c>
    </row>
    <row r="60" spans="1:3" x14ac:dyDescent="0.25">
      <c r="A60" s="74" t="s">
        <v>200</v>
      </c>
      <c r="B60" s="74">
        <v>300</v>
      </c>
      <c r="C60" s="74">
        <v>9.9999999999999995E-7</v>
      </c>
    </row>
    <row r="61" spans="1:3" x14ac:dyDescent="0.25">
      <c r="A61" s="74" t="s">
        <v>201</v>
      </c>
      <c r="B61" s="74">
        <v>300</v>
      </c>
      <c r="C61" s="74">
        <v>9.9999999999999995E-7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20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9.9999999999999995E-7</v>
      </c>
    </row>
    <row r="60" spans="1:3" x14ac:dyDescent="0.25">
      <c r="A60" s="74" t="s">
        <v>200</v>
      </c>
      <c r="B60" s="74">
        <v>300</v>
      </c>
      <c r="C60" s="74">
        <v>9.9999999999999995E-7</v>
      </c>
    </row>
    <row r="61" spans="1:3" x14ac:dyDescent="0.25">
      <c r="A61" s="74" t="s">
        <v>201</v>
      </c>
      <c r="B61" s="74">
        <v>300</v>
      </c>
      <c r="C61" s="74">
        <v>9.9999999999999995E-7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7" x14ac:dyDescent="0.25">
      <c r="A33" s="74" t="s">
        <v>178</v>
      </c>
      <c r="B33" s="74">
        <v>5</v>
      </c>
      <c r="C33" s="74">
        <v>1</v>
      </c>
      <c r="D33" s="74">
        <v>2</v>
      </c>
      <c r="E33" s="74">
        <v>3</v>
      </c>
      <c r="F33" s="74">
        <v>4</v>
      </c>
      <c r="G33" s="74">
        <v>15</v>
      </c>
    </row>
    <row r="39" spans="1:7" x14ac:dyDescent="0.25">
      <c r="A39" s="74" t="s">
        <v>179</v>
      </c>
      <c r="B39" s="74">
        <v>100</v>
      </c>
      <c r="C39" s="74">
        <v>1</v>
      </c>
    </row>
    <row r="40" spans="1:7" x14ac:dyDescent="0.25">
      <c r="A40" s="74" t="s">
        <v>180</v>
      </c>
      <c r="B40" s="74">
        <v>150</v>
      </c>
      <c r="C40" s="74">
        <v>100</v>
      </c>
    </row>
    <row r="41" spans="1:7" x14ac:dyDescent="0.25">
      <c r="A41" s="74" t="s">
        <v>181</v>
      </c>
      <c r="B41" s="74">
        <v>300</v>
      </c>
      <c r="C41" s="74">
        <v>100</v>
      </c>
    </row>
    <row r="42" spans="1:7" x14ac:dyDescent="0.25">
      <c r="A42" s="74" t="s">
        <v>182</v>
      </c>
      <c r="B42" s="74">
        <v>100</v>
      </c>
      <c r="C42" s="74">
        <v>1</v>
      </c>
    </row>
    <row r="43" spans="1:7" x14ac:dyDescent="0.25">
      <c r="A43" s="74" t="s">
        <v>183</v>
      </c>
      <c r="B43" s="74">
        <v>200</v>
      </c>
      <c r="C43" s="74">
        <v>0</v>
      </c>
    </row>
    <row r="44" spans="1:7" x14ac:dyDescent="0.25">
      <c r="A44" s="74" t="s">
        <v>184</v>
      </c>
      <c r="B44" s="74">
        <v>150</v>
      </c>
      <c r="C44" s="74">
        <v>0</v>
      </c>
    </row>
    <row r="45" spans="1:7" x14ac:dyDescent="0.25">
      <c r="A45" s="74" t="s">
        <v>185</v>
      </c>
      <c r="B45" s="74">
        <v>100</v>
      </c>
      <c r="C45" s="74">
        <v>20</v>
      </c>
    </row>
    <row r="46" spans="1:7" x14ac:dyDescent="0.25">
      <c r="A46" s="74" t="s">
        <v>186</v>
      </c>
      <c r="B46" s="74">
        <v>300</v>
      </c>
      <c r="C46" s="74">
        <v>200</v>
      </c>
    </row>
    <row r="47" spans="1:7" x14ac:dyDescent="0.25">
      <c r="A47" s="74" t="s">
        <v>187</v>
      </c>
      <c r="B47" s="74">
        <v>100</v>
      </c>
      <c r="C47" s="74">
        <v>0</v>
      </c>
    </row>
    <row r="48" spans="1:7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20</v>
      </c>
    </row>
    <row r="55" spans="1:3" x14ac:dyDescent="0.25">
      <c r="A55" s="74" t="s">
        <v>195</v>
      </c>
      <c r="B55" s="74">
        <v>160</v>
      </c>
      <c r="C55" s="74">
        <v>20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9.9999999999999995E-7</v>
      </c>
    </row>
    <row r="60" spans="1:3" x14ac:dyDescent="0.25">
      <c r="A60" s="74" t="s">
        <v>200</v>
      </c>
      <c r="B60" s="74">
        <v>300</v>
      </c>
      <c r="C60" s="74">
        <v>9.9999999999999995E-7</v>
      </c>
    </row>
    <row r="61" spans="1:3" x14ac:dyDescent="0.25">
      <c r="A61" s="74" t="s">
        <v>201</v>
      </c>
      <c r="B61" s="74">
        <v>300</v>
      </c>
      <c r="C61" s="74">
        <v>9.9999999999999995E-7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3:L61"/>
  <sheetViews>
    <sheetView workbookViewId="0"/>
  </sheetViews>
  <sheetFormatPr defaultColWidth="8.90625" defaultRowHeight="12.5" x14ac:dyDescent="0.25"/>
  <cols>
    <col min="1" max="16384" width="8.90625" style="75"/>
  </cols>
  <sheetData>
    <row r="3" spans="1:12" x14ac:dyDescent="0.25">
      <c r="A3" s="74" t="s">
        <v>152</v>
      </c>
      <c r="B3" s="74">
        <v>10</v>
      </c>
      <c r="C3" s="74">
        <v>1</v>
      </c>
      <c r="D3" s="74">
        <v>2</v>
      </c>
      <c r="E3" s="74">
        <v>3</v>
      </c>
      <c r="F3" s="74">
        <v>4</v>
      </c>
      <c r="G3" s="74">
        <v>5</v>
      </c>
      <c r="H3" s="74">
        <v>6</v>
      </c>
      <c r="I3" s="74">
        <v>8</v>
      </c>
      <c r="J3" s="74">
        <v>10</v>
      </c>
      <c r="K3" s="74">
        <v>12</v>
      </c>
      <c r="L3" s="74">
        <v>15</v>
      </c>
    </row>
    <row r="4" spans="1:12" x14ac:dyDescent="0.25">
      <c r="A4" s="74" t="s">
        <v>153</v>
      </c>
      <c r="B4" s="74">
        <v>10</v>
      </c>
      <c r="C4" s="74">
        <v>1</v>
      </c>
      <c r="D4" s="74">
        <v>2</v>
      </c>
      <c r="E4" s="74">
        <v>3</v>
      </c>
      <c r="F4" s="74">
        <v>4</v>
      </c>
      <c r="G4" s="74">
        <v>5</v>
      </c>
      <c r="H4" s="74">
        <v>6</v>
      </c>
      <c r="I4" s="74">
        <v>8</v>
      </c>
      <c r="J4" s="74">
        <v>10</v>
      </c>
      <c r="K4" s="74">
        <v>12</v>
      </c>
      <c r="L4" s="74">
        <v>15</v>
      </c>
    </row>
    <row r="5" spans="1:12" x14ac:dyDescent="0.25">
      <c r="A5" s="74" t="s">
        <v>154</v>
      </c>
      <c r="B5" s="74">
        <v>9</v>
      </c>
      <c r="C5" s="74">
        <v>2</v>
      </c>
      <c r="D5" s="74">
        <v>3</v>
      </c>
      <c r="E5" s="74">
        <v>4</v>
      </c>
      <c r="F5" s="74">
        <v>5</v>
      </c>
      <c r="G5" s="74">
        <v>6</v>
      </c>
      <c r="H5" s="74">
        <v>8</v>
      </c>
      <c r="I5" s="74">
        <v>10</v>
      </c>
      <c r="J5" s="74">
        <v>12</v>
      </c>
      <c r="K5" s="74">
        <v>15</v>
      </c>
    </row>
    <row r="6" spans="1:12" x14ac:dyDescent="0.25">
      <c r="A6" s="74" t="s">
        <v>155</v>
      </c>
      <c r="B6" s="74">
        <v>9</v>
      </c>
      <c r="C6" s="74">
        <v>2</v>
      </c>
      <c r="D6" s="74">
        <v>3</v>
      </c>
      <c r="E6" s="74">
        <v>4</v>
      </c>
      <c r="F6" s="74">
        <v>5</v>
      </c>
      <c r="G6" s="74">
        <v>6</v>
      </c>
      <c r="H6" s="74">
        <v>8</v>
      </c>
      <c r="I6" s="74">
        <v>10</v>
      </c>
      <c r="J6" s="74">
        <v>12</v>
      </c>
      <c r="K6" s="74">
        <v>15</v>
      </c>
    </row>
    <row r="7" spans="1:12" x14ac:dyDescent="0.25">
      <c r="A7" s="74" t="s">
        <v>156</v>
      </c>
      <c r="B7" s="74">
        <v>10</v>
      </c>
      <c r="C7" s="74">
        <v>1</v>
      </c>
      <c r="D7" s="74">
        <v>2</v>
      </c>
      <c r="E7" s="74">
        <v>3</v>
      </c>
      <c r="F7" s="74">
        <v>4</v>
      </c>
      <c r="G7" s="74">
        <v>5</v>
      </c>
      <c r="H7" s="74">
        <v>6</v>
      </c>
      <c r="I7" s="74">
        <v>8</v>
      </c>
      <c r="J7" s="74">
        <v>10</v>
      </c>
      <c r="K7" s="74">
        <v>12</v>
      </c>
      <c r="L7" s="74">
        <v>15</v>
      </c>
    </row>
    <row r="8" spans="1:12" x14ac:dyDescent="0.25">
      <c r="A8" s="74" t="s">
        <v>157</v>
      </c>
      <c r="B8" s="74">
        <v>10</v>
      </c>
      <c r="C8" s="74">
        <v>1</v>
      </c>
      <c r="D8" s="74">
        <v>2</v>
      </c>
      <c r="E8" s="74">
        <v>3</v>
      </c>
      <c r="F8" s="74">
        <v>4</v>
      </c>
      <c r="G8" s="74">
        <v>5</v>
      </c>
      <c r="H8" s="74">
        <v>6</v>
      </c>
      <c r="I8" s="74">
        <v>8</v>
      </c>
      <c r="J8" s="74">
        <v>10</v>
      </c>
      <c r="K8" s="74">
        <v>12</v>
      </c>
      <c r="L8" s="74">
        <v>15</v>
      </c>
    </row>
    <row r="9" spans="1:12" x14ac:dyDescent="0.25">
      <c r="A9" s="74" t="s">
        <v>158</v>
      </c>
      <c r="B9" s="74">
        <v>5</v>
      </c>
      <c r="C9" s="74">
        <v>1</v>
      </c>
      <c r="D9" s="74">
        <v>2</v>
      </c>
      <c r="E9" s="74">
        <v>3</v>
      </c>
      <c r="F9" s="74">
        <v>4</v>
      </c>
      <c r="G9" s="74">
        <v>15</v>
      </c>
    </row>
    <row r="10" spans="1:12" x14ac:dyDescent="0.25">
      <c r="A10" s="74" t="s">
        <v>159</v>
      </c>
      <c r="B10" s="74">
        <v>10</v>
      </c>
      <c r="C10" s="74">
        <v>1</v>
      </c>
      <c r="D10" s="74">
        <v>2</v>
      </c>
      <c r="E10" s="74">
        <v>3</v>
      </c>
      <c r="F10" s="74">
        <v>4</v>
      </c>
      <c r="G10" s="74">
        <v>5</v>
      </c>
      <c r="H10" s="74">
        <v>6</v>
      </c>
      <c r="I10" s="74">
        <v>8</v>
      </c>
      <c r="J10" s="74">
        <v>10</v>
      </c>
      <c r="K10" s="74">
        <v>12</v>
      </c>
      <c r="L10" s="74">
        <v>15</v>
      </c>
    </row>
    <row r="11" spans="1:12" x14ac:dyDescent="0.25">
      <c r="A11" s="74" t="s">
        <v>160</v>
      </c>
      <c r="B11" s="74">
        <v>10</v>
      </c>
      <c r="C11" s="74">
        <v>1</v>
      </c>
      <c r="D11" s="74">
        <v>2</v>
      </c>
      <c r="E11" s="74">
        <v>3</v>
      </c>
      <c r="F11" s="74">
        <v>4</v>
      </c>
      <c r="G11" s="74">
        <v>5</v>
      </c>
      <c r="H11" s="74">
        <v>6</v>
      </c>
      <c r="I11" s="74">
        <v>8</v>
      </c>
      <c r="J11" s="74">
        <v>10</v>
      </c>
      <c r="K11" s="74">
        <v>12</v>
      </c>
      <c r="L11" s="74">
        <v>15</v>
      </c>
    </row>
    <row r="12" spans="1:12" x14ac:dyDescent="0.25">
      <c r="A12" s="74" t="s">
        <v>161</v>
      </c>
      <c r="B12" s="74">
        <v>10</v>
      </c>
      <c r="C12" s="74">
        <v>1</v>
      </c>
      <c r="D12" s="74">
        <v>2</v>
      </c>
      <c r="E12" s="74">
        <v>3</v>
      </c>
      <c r="F12" s="74">
        <v>4</v>
      </c>
      <c r="G12" s="74">
        <v>5</v>
      </c>
      <c r="H12" s="74">
        <v>6</v>
      </c>
      <c r="I12" s="74">
        <v>8</v>
      </c>
      <c r="J12" s="74">
        <v>10</v>
      </c>
      <c r="K12" s="74">
        <v>12</v>
      </c>
      <c r="L12" s="74">
        <v>15</v>
      </c>
    </row>
    <row r="13" spans="1:12" x14ac:dyDescent="0.25">
      <c r="A13" s="74" t="s">
        <v>162</v>
      </c>
      <c r="B13" s="74">
        <v>10</v>
      </c>
      <c r="C13" s="74">
        <v>1</v>
      </c>
      <c r="D13" s="74">
        <v>2</v>
      </c>
      <c r="E13" s="74">
        <v>3</v>
      </c>
      <c r="F13" s="74">
        <v>4</v>
      </c>
      <c r="G13" s="74">
        <v>5</v>
      </c>
      <c r="H13" s="74">
        <v>6</v>
      </c>
      <c r="I13" s="74">
        <v>8</v>
      </c>
      <c r="J13" s="74">
        <v>10</v>
      </c>
      <c r="K13" s="74">
        <v>12</v>
      </c>
      <c r="L13" s="74">
        <v>15</v>
      </c>
    </row>
    <row r="14" spans="1:12" x14ac:dyDescent="0.25">
      <c r="A14" s="74" t="s">
        <v>163</v>
      </c>
      <c r="B14" s="74">
        <v>10</v>
      </c>
      <c r="C14" s="74">
        <v>1</v>
      </c>
      <c r="D14" s="74">
        <v>2</v>
      </c>
      <c r="E14" s="74">
        <v>3</v>
      </c>
      <c r="F14" s="74">
        <v>4</v>
      </c>
      <c r="G14" s="74">
        <v>5</v>
      </c>
      <c r="H14" s="74">
        <v>6</v>
      </c>
      <c r="I14" s="74">
        <v>8</v>
      </c>
      <c r="J14" s="74">
        <v>10</v>
      </c>
      <c r="K14" s="74">
        <v>12</v>
      </c>
      <c r="L14" s="74">
        <v>15</v>
      </c>
    </row>
    <row r="15" spans="1:12" x14ac:dyDescent="0.25">
      <c r="A15" s="74" t="s">
        <v>164</v>
      </c>
      <c r="B15" s="74">
        <v>10</v>
      </c>
      <c r="C15" s="74">
        <v>1</v>
      </c>
      <c r="D15" s="74">
        <v>2</v>
      </c>
      <c r="E15" s="74">
        <v>3</v>
      </c>
      <c r="F15" s="74">
        <v>4</v>
      </c>
      <c r="G15" s="74">
        <v>5</v>
      </c>
      <c r="H15" s="74">
        <v>6</v>
      </c>
      <c r="I15" s="74">
        <v>8</v>
      </c>
      <c r="J15" s="74">
        <v>10</v>
      </c>
      <c r="K15" s="74">
        <v>12</v>
      </c>
      <c r="L15" s="74">
        <v>15</v>
      </c>
    </row>
    <row r="16" spans="1:12" x14ac:dyDescent="0.25">
      <c r="A16" s="74" t="s">
        <v>165</v>
      </c>
      <c r="B16" s="74">
        <v>10</v>
      </c>
      <c r="C16" s="74">
        <v>1</v>
      </c>
      <c r="D16" s="74">
        <v>2</v>
      </c>
      <c r="E16" s="74">
        <v>3</v>
      </c>
      <c r="F16" s="74">
        <v>4</v>
      </c>
      <c r="G16" s="74">
        <v>5</v>
      </c>
      <c r="H16" s="74">
        <v>6</v>
      </c>
      <c r="I16" s="74">
        <v>8</v>
      </c>
      <c r="J16" s="74">
        <v>10</v>
      </c>
      <c r="K16" s="74">
        <v>12</v>
      </c>
      <c r="L16" s="74">
        <v>15</v>
      </c>
    </row>
    <row r="21" spans="1:12" x14ac:dyDescent="0.25">
      <c r="A21" s="74" t="s">
        <v>166</v>
      </c>
      <c r="B21" s="74">
        <v>6</v>
      </c>
      <c r="C21" s="74">
        <v>1</v>
      </c>
      <c r="D21" s="74">
        <v>2</v>
      </c>
      <c r="E21" s="74">
        <v>3</v>
      </c>
      <c r="F21" s="74">
        <v>4</v>
      </c>
      <c r="G21" s="74">
        <v>5</v>
      </c>
      <c r="H21" s="74">
        <v>6</v>
      </c>
    </row>
    <row r="22" spans="1:12" x14ac:dyDescent="0.25">
      <c r="A22" s="74" t="s">
        <v>167</v>
      </c>
      <c r="B22" s="74">
        <v>3</v>
      </c>
      <c r="C22" s="74">
        <v>1</v>
      </c>
      <c r="D22" s="74">
        <v>2</v>
      </c>
      <c r="E22" s="74">
        <v>3</v>
      </c>
    </row>
    <row r="23" spans="1:12" x14ac:dyDescent="0.25">
      <c r="A23" s="74" t="s">
        <v>168</v>
      </c>
      <c r="B23" s="74">
        <v>1</v>
      </c>
      <c r="C23" s="74">
        <v>1</v>
      </c>
    </row>
    <row r="24" spans="1:12" x14ac:dyDescent="0.25">
      <c r="A24" s="74" t="s">
        <v>169</v>
      </c>
      <c r="B24" s="74">
        <v>3</v>
      </c>
      <c r="C24" s="74">
        <v>1</v>
      </c>
      <c r="D24" s="74">
        <v>2</v>
      </c>
      <c r="E24" s="74">
        <v>3</v>
      </c>
    </row>
    <row r="25" spans="1:12" x14ac:dyDescent="0.25">
      <c r="A25" s="74" t="s">
        <v>170</v>
      </c>
      <c r="B25" s="74">
        <v>2</v>
      </c>
      <c r="C25" s="74">
        <v>1</v>
      </c>
      <c r="D25" s="74">
        <v>2</v>
      </c>
    </row>
    <row r="26" spans="1:12" x14ac:dyDescent="0.25">
      <c r="A26" s="74" t="s">
        <v>171</v>
      </c>
      <c r="B26" s="74">
        <v>6</v>
      </c>
      <c r="C26" s="74">
        <v>1</v>
      </c>
      <c r="D26" s="74">
        <v>2</v>
      </c>
      <c r="E26" s="74">
        <v>3</v>
      </c>
      <c r="F26" s="74">
        <v>4</v>
      </c>
      <c r="G26" s="74">
        <v>5</v>
      </c>
      <c r="H26" s="74">
        <v>6</v>
      </c>
    </row>
    <row r="27" spans="1:12" x14ac:dyDescent="0.25">
      <c r="A27" s="74" t="s">
        <v>172</v>
      </c>
      <c r="B27" s="74">
        <v>10</v>
      </c>
      <c r="C27" s="74">
        <v>1</v>
      </c>
      <c r="D27" s="74">
        <v>2</v>
      </c>
      <c r="E27" s="74">
        <v>3</v>
      </c>
      <c r="F27" s="74">
        <v>4</v>
      </c>
      <c r="G27" s="74">
        <v>5</v>
      </c>
      <c r="H27" s="74">
        <v>6</v>
      </c>
      <c r="I27" s="74">
        <v>8</v>
      </c>
      <c r="J27" s="74">
        <v>10</v>
      </c>
      <c r="K27" s="74">
        <v>12</v>
      </c>
      <c r="L27" s="74">
        <v>15</v>
      </c>
    </row>
    <row r="28" spans="1:12" x14ac:dyDescent="0.25">
      <c r="A28" s="74" t="s">
        <v>173</v>
      </c>
      <c r="B28" s="74">
        <v>2</v>
      </c>
      <c r="C28" s="74">
        <v>1</v>
      </c>
      <c r="D28" s="74">
        <v>2</v>
      </c>
    </row>
    <row r="29" spans="1:12" x14ac:dyDescent="0.25">
      <c r="A29" s="74" t="s">
        <v>174</v>
      </c>
      <c r="B29" s="74">
        <v>10</v>
      </c>
      <c r="C29" s="74">
        <v>1</v>
      </c>
      <c r="D29" s="74">
        <v>2</v>
      </c>
      <c r="E29" s="74">
        <v>3</v>
      </c>
      <c r="F29" s="74">
        <v>4</v>
      </c>
      <c r="G29" s="74">
        <v>5</v>
      </c>
      <c r="H29" s="74">
        <v>6</v>
      </c>
      <c r="I29" s="74">
        <v>8</v>
      </c>
      <c r="J29" s="74">
        <v>10</v>
      </c>
      <c r="K29" s="74">
        <v>12</v>
      </c>
      <c r="L29" s="74">
        <v>15</v>
      </c>
    </row>
    <row r="30" spans="1:12" x14ac:dyDescent="0.25">
      <c r="A30" s="74" t="s">
        <v>175</v>
      </c>
      <c r="B30" s="74">
        <v>2</v>
      </c>
      <c r="C30" s="74">
        <v>1</v>
      </c>
      <c r="D30" s="74">
        <v>2</v>
      </c>
    </row>
    <row r="31" spans="1:12" x14ac:dyDescent="0.25">
      <c r="A31" s="74" t="s">
        <v>176</v>
      </c>
      <c r="B31" s="74">
        <v>1</v>
      </c>
      <c r="C31" s="74">
        <v>2</v>
      </c>
    </row>
    <row r="32" spans="1:12" x14ac:dyDescent="0.25">
      <c r="A32" s="74" t="s">
        <v>177</v>
      </c>
      <c r="B32" s="74">
        <v>10</v>
      </c>
      <c r="C32" s="74">
        <v>1</v>
      </c>
      <c r="D32" s="74">
        <v>2</v>
      </c>
      <c r="E32" s="74">
        <v>3</v>
      </c>
      <c r="F32" s="74">
        <v>4</v>
      </c>
      <c r="G32" s="74">
        <v>5</v>
      </c>
      <c r="H32" s="74">
        <v>6</v>
      </c>
      <c r="I32" s="74">
        <v>8</v>
      </c>
      <c r="J32" s="74">
        <v>10</v>
      </c>
      <c r="K32" s="74">
        <v>12</v>
      </c>
      <c r="L32" s="74">
        <v>15</v>
      </c>
    </row>
    <row r="33" spans="1:8" x14ac:dyDescent="0.25">
      <c r="A33" s="74" t="s">
        <v>178</v>
      </c>
      <c r="B33" s="74">
        <v>6</v>
      </c>
      <c r="C33" s="74">
        <v>0</v>
      </c>
      <c r="D33" s="74">
        <v>1</v>
      </c>
      <c r="E33" s="74">
        <v>2</v>
      </c>
      <c r="F33" s="74">
        <v>3</v>
      </c>
      <c r="G33" s="74">
        <v>4</v>
      </c>
      <c r="H33" s="74">
        <v>15</v>
      </c>
    </row>
    <row r="39" spans="1:8" x14ac:dyDescent="0.25">
      <c r="A39" s="74" t="s">
        <v>179</v>
      </c>
      <c r="B39" s="74">
        <v>100</v>
      </c>
      <c r="C39" s="74">
        <v>1</v>
      </c>
    </row>
    <row r="40" spans="1:8" x14ac:dyDescent="0.25">
      <c r="A40" s="74" t="s">
        <v>180</v>
      </c>
      <c r="B40" s="74">
        <v>150</v>
      </c>
      <c r="C40" s="74">
        <v>100</v>
      </c>
    </row>
    <row r="41" spans="1:8" x14ac:dyDescent="0.25">
      <c r="A41" s="74" t="s">
        <v>181</v>
      </c>
      <c r="B41" s="74">
        <v>300</v>
      </c>
      <c r="C41" s="74">
        <v>100</v>
      </c>
    </row>
    <row r="42" spans="1:8" x14ac:dyDescent="0.25">
      <c r="A42" s="74" t="s">
        <v>182</v>
      </c>
      <c r="B42" s="74">
        <v>100</v>
      </c>
      <c r="C42" s="74">
        <v>1</v>
      </c>
    </row>
    <row r="43" spans="1:8" x14ac:dyDescent="0.25">
      <c r="A43" s="74" t="s">
        <v>183</v>
      </c>
      <c r="B43" s="74">
        <v>200</v>
      </c>
      <c r="C43" s="74">
        <v>0</v>
      </c>
    </row>
    <row r="44" spans="1:8" x14ac:dyDescent="0.25">
      <c r="A44" s="74" t="s">
        <v>184</v>
      </c>
      <c r="B44" s="74">
        <v>150</v>
      </c>
      <c r="C44" s="74">
        <v>0</v>
      </c>
    </row>
    <row r="45" spans="1:8" x14ac:dyDescent="0.25">
      <c r="A45" s="74" t="s">
        <v>185</v>
      </c>
      <c r="B45" s="74">
        <v>100</v>
      </c>
      <c r="C45" s="74">
        <v>20</v>
      </c>
    </row>
    <row r="46" spans="1:8" x14ac:dyDescent="0.25">
      <c r="A46" s="74" t="s">
        <v>186</v>
      </c>
      <c r="B46" s="74">
        <v>300</v>
      </c>
      <c r="C46" s="74">
        <v>0</v>
      </c>
    </row>
    <row r="47" spans="1:8" x14ac:dyDescent="0.25">
      <c r="A47" s="74" t="s">
        <v>187</v>
      </c>
      <c r="B47" s="74">
        <v>100</v>
      </c>
      <c r="C47" s="74">
        <v>0</v>
      </c>
    </row>
    <row r="48" spans="1:8" x14ac:dyDescent="0.25">
      <c r="A48" s="74" t="s">
        <v>188</v>
      </c>
      <c r="B48" s="74">
        <v>80</v>
      </c>
      <c r="C48" s="74">
        <v>0</v>
      </c>
    </row>
    <row r="49" spans="1:3" x14ac:dyDescent="0.25">
      <c r="A49" s="74" t="s">
        <v>189</v>
      </c>
      <c r="B49" s="74">
        <v>200</v>
      </c>
      <c r="C49" s="74">
        <v>0</v>
      </c>
    </row>
    <row r="50" spans="1:3" x14ac:dyDescent="0.25">
      <c r="A50" s="74" t="s">
        <v>190</v>
      </c>
      <c r="B50" s="74">
        <v>200</v>
      </c>
      <c r="C50" s="74">
        <v>0</v>
      </c>
    </row>
    <row r="51" spans="1:3" x14ac:dyDescent="0.25">
      <c r="A51" s="74" t="s">
        <v>191</v>
      </c>
      <c r="B51" s="74">
        <v>100</v>
      </c>
      <c r="C51" s="74">
        <v>0</v>
      </c>
    </row>
    <row r="52" spans="1:3" x14ac:dyDescent="0.25">
      <c r="A52" s="74" t="s">
        <v>192</v>
      </c>
      <c r="B52" s="74">
        <v>200</v>
      </c>
      <c r="C52" s="74">
        <v>0</v>
      </c>
    </row>
    <row r="53" spans="1:3" x14ac:dyDescent="0.25">
      <c r="A53" s="74" t="s">
        <v>193</v>
      </c>
      <c r="B53" s="74">
        <v>200</v>
      </c>
      <c r="C53" s="74">
        <v>0</v>
      </c>
    </row>
    <row r="54" spans="1:3" x14ac:dyDescent="0.25">
      <c r="A54" s="74" t="s">
        <v>194</v>
      </c>
      <c r="B54" s="74">
        <v>160</v>
      </c>
      <c r="C54" s="74">
        <v>0</v>
      </c>
    </row>
    <row r="55" spans="1:3" x14ac:dyDescent="0.25">
      <c r="A55" s="74" t="s">
        <v>195</v>
      </c>
      <c r="B55" s="74">
        <v>160</v>
      </c>
      <c r="C55" s="74">
        <v>0</v>
      </c>
    </row>
    <row r="56" spans="1:3" x14ac:dyDescent="0.25">
      <c r="A56" s="74" t="s">
        <v>196</v>
      </c>
      <c r="B56" s="74">
        <v>300</v>
      </c>
      <c r="C56" s="74">
        <v>1</v>
      </c>
    </row>
    <row r="57" spans="1:3" x14ac:dyDescent="0.25">
      <c r="A57" s="74" t="s">
        <v>197</v>
      </c>
      <c r="B57" s="74">
        <v>300</v>
      </c>
      <c r="C57" s="74">
        <v>9.9999999999999995E-7</v>
      </c>
    </row>
    <row r="58" spans="1:3" x14ac:dyDescent="0.25">
      <c r="A58" s="74" t="s">
        <v>198</v>
      </c>
      <c r="B58" s="74">
        <v>300</v>
      </c>
      <c r="C58" s="74">
        <v>9.9999999999999995E-7</v>
      </c>
    </row>
    <row r="59" spans="1:3" x14ac:dyDescent="0.25">
      <c r="A59" s="74" t="s">
        <v>199</v>
      </c>
      <c r="B59" s="74">
        <v>300</v>
      </c>
      <c r="C59" s="74">
        <v>9.9999999999999995E-7</v>
      </c>
    </row>
    <row r="60" spans="1:3" x14ac:dyDescent="0.25">
      <c r="A60" s="74" t="s">
        <v>200</v>
      </c>
      <c r="B60" s="74">
        <v>300</v>
      </c>
      <c r="C60" s="74">
        <v>0</v>
      </c>
    </row>
    <row r="61" spans="1:3" x14ac:dyDescent="0.25">
      <c r="A61" s="74" t="s">
        <v>201</v>
      </c>
      <c r="B61" s="74">
        <v>300</v>
      </c>
      <c r="C61" s="74">
        <v>0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Front Page</vt:lpstr>
      <vt:lpstr>INDEX</vt:lpstr>
      <vt:lpstr>CALC</vt:lpstr>
      <vt:lpstr>RESULT</vt:lpstr>
      <vt:lpstr>TC322</vt:lpstr>
      <vt:lpstr>TC323</vt:lpstr>
      <vt:lpstr>TC324</vt:lpstr>
      <vt:lpstr>TC327</vt:lpstr>
      <vt:lpstr>TC332</vt:lpstr>
      <vt:lpstr>TC333</vt:lpstr>
      <vt:lpstr>TC334</vt:lpstr>
      <vt:lpstr>TC336</vt:lpstr>
      <vt:lpstr>TC337</vt:lpstr>
      <vt:lpstr>TC336_ED_ADAS</vt:lpstr>
      <vt:lpstr>TC337_ED_ADAS</vt:lpstr>
      <vt:lpstr>TC356_ADAS</vt:lpstr>
      <vt:lpstr>TC357_ADAS</vt:lpstr>
      <vt:lpstr>TC364_LQFP</vt:lpstr>
      <vt:lpstr>TC364_TQFP</vt:lpstr>
      <vt:lpstr>TC365</vt:lpstr>
      <vt:lpstr>TC366</vt:lpstr>
      <vt:lpstr>TC367</vt:lpstr>
      <vt:lpstr>TC375</vt:lpstr>
      <vt:lpstr>TC377</vt:lpstr>
      <vt:lpstr>TC374_ED</vt:lpstr>
      <vt:lpstr>TC375_ED</vt:lpstr>
      <vt:lpstr>TC377_ED</vt:lpstr>
      <vt:lpstr>TC377_ED_EX</vt:lpstr>
      <vt:lpstr>TC387</vt:lpstr>
      <vt:lpstr>TC389</vt:lpstr>
      <vt:lpstr>TC397</vt:lpstr>
      <vt:lpstr>TC397_ADAS</vt:lpstr>
      <vt:lpstr>TC399</vt:lpstr>
      <vt:lpstr>TC3E7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2021-10-20T06:22:45Z</dcterms:modified>
</cp:coreProperties>
</file>